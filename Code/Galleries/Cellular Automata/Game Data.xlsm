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alace\LuLoDuDo\"/>
    </mc:Choice>
  </mc:AlternateContent>
  <xr:revisionPtr revIDLastSave="0" documentId="13_ncr:1_{22072514-6B87-47C9-ABD9-5B120A9921A8}" xr6:coauthVersionLast="45" xr6:coauthVersionMax="45" xr10:uidLastSave="{00000000-0000-0000-0000-000000000000}"/>
  <bookViews>
    <workbookView xWindow="-6372" yWindow="4932" windowWidth="12960" windowHeight="7284" activeTab="1" xr2:uid="{52DFCF2A-9740-4874-B889-2B483A477914}"/>
  </bookViews>
  <sheets>
    <sheet name="Data" sheetId="1" r:id="rId1"/>
    <sheet name="Graph" sheetId="3" r:id="rId2"/>
    <sheet name="Notes" sheetId="2" r:id="rId3"/>
    <sheet name="ML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3" i="1" l="1"/>
  <c r="I13" i="1"/>
  <c r="J12" i="1"/>
  <c r="I12" i="1"/>
  <c r="J11" i="1"/>
  <c r="I11" i="1"/>
  <c r="J10" i="1"/>
  <c r="I10" i="1"/>
  <c r="J8" i="1"/>
  <c r="I8" i="1"/>
  <c r="J7" i="1"/>
  <c r="I7" i="1"/>
  <c r="J6" i="1"/>
  <c r="I6" i="1"/>
  <c r="J5" i="1"/>
  <c r="I5" i="1"/>
  <c r="AN33" i="1"/>
  <c r="AM33" i="1"/>
  <c r="AN32" i="1"/>
  <c r="AM32" i="1"/>
  <c r="AN31" i="1"/>
  <c r="AM31" i="1"/>
  <c r="AN30" i="1"/>
  <c r="AM30" i="1"/>
  <c r="AN28" i="1"/>
  <c r="AM28" i="1"/>
  <c r="AN27" i="1"/>
  <c r="AM27" i="1"/>
  <c r="AN26" i="1"/>
  <c r="AM26" i="1"/>
  <c r="AN25" i="1"/>
  <c r="AM25" i="1"/>
  <c r="T28" i="1"/>
  <c r="S28" i="1"/>
  <c r="T27" i="1"/>
  <c r="S27" i="1"/>
  <c r="T26" i="1"/>
  <c r="S26" i="1"/>
  <c r="T25" i="1"/>
  <c r="S25" i="1"/>
  <c r="AD133" i="1"/>
  <c r="AC133" i="1"/>
  <c r="AD132" i="1"/>
  <c r="AC132" i="1"/>
  <c r="AD131" i="1"/>
  <c r="AC131" i="1"/>
  <c r="AD130" i="1"/>
  <c r="AC130" i="1"/>
  <c r="AD128" i="1"/>
  <c r="AC128" i="1"/>
  <c r="AD127" i="1"/>
  <c r="AC127" i="1"/>
  <c r="AD126" i="1"/>
  <c r="AC126" i="1"/>
  <c r="AD125" i="1"/>
  <c r="AC125" i="1"/>
  <c r="AD123" i="1"/>
  <c r="AC123" i="1"/>
  <c r="AD122" i="1"/>
  <c r="AC122" i="1"/>
  <c r="AD121" i="1"/>
  <c r="AC121" i="1"/>
  <c r="AD120" i="1"/>
  <c r="AC120" i="1"/>
  <c r="AD118" i="1"/>
  <c r="AC118" i="1"/>
  <c r="AD117" i="1"/>
  <c r="AC117" i="1"/>
  <c r="AD116" i="1"/>
  <c r="AC116" i="1"/>
  <c r="AD115" i="1"/>
  <c r="AC115" i="1"/>
  <c r="AD113" i="1"/>
  <c r="AC113" i="1"/>
  <c r="AD112" i="1"/>
  <c r="AC112" i="1"/>
  <c r="AD111" i="1"/>
  <c r="AC111" i="1"/>
  <c r="AD110" i="1"/>
  <c r="AC110" i="1"/>
  <c r="AD108" i="1"/>
  <c r="AC108" i="1"/>
  <c r="AD107" i="1"/>
  <c r="AC107" i="1"/>
  <c r="AD106" i="1"/>
  <c r="AC106" i="1"/>
  <c r="AD105" i="1"/>
  <c r="AC105" i="1"/>
  <c r="AD103" i="1"/>
  <c r="AC103" i="1"/>
  <c r="AD102" i="1"/>
  <c r="AC102" i="1"/>
  <c r="AD101" i="1"/>
  <c r="AC101" i="1"/>
  <c r="AD100" i="1"/>
  <c r="AC100" i="1"/>
  <c r="AD98" i="1"/>
  <c r="AC98" i="1"/>
  <c r="AD97" i="1"/>
  <c r="AC97" i="1"/>
  <c r="AD96" i="1"/>
  <c r="AC96" i="1"/>
  <c r="AD95" i="1"/>
  <c r="AC95" i="1"/>
  <c r="AD93" i="1"/>
  <c r="AC93" i="1"/>
  <c r="AD92" i="1"/>
  <c r="AC92" i="1"/>
  <c r="AD91" i="1"/>
  <c r="AC91" i="1"/>
  <c r="AD90" i="1"/>
  <c r="AC90" i="1"/>
  <c r="AD88" i="1"/>
  <c r="AC88" i="1"/>
  <c r="AD87" i="1"/>
  <c r="AC87" i="1"/>
  <c r="AD86" i="1"/>
  <c r="AC86" i="1"/>
  <c r="AD85" i="1"/>
  <c r="AC85" i="1"/>
  <c r="T23" i="1"/>
  <c r="S23" i="1"/>
  <c r="T22" i="1"/>
  <c r="S22" i="1"/>
  <c r="T21" i="1"/>
  <c r="S21" i="1"/>
  <c r="T20" i="1"/>
  <c r="S20" i="1"/>
  <c r="T18" i="1"/>
  <c r="S18" i="1"/>
  <c r="T17" i="1"/>
  <c r="S17" i="1"/>
  <c r="T16" i="1"/>
  <c r="S16" i="1"/>
  <c r="T15" i="1"/>
  <c r="S15" i="1"/>
  <c r="AD83" i="1"/>
  <c r="AC83" i="1"/>
  <c r="AD82" i="1"/>
  <c r="AC82" i="1"/>
  <c r="AD81" i="1"/>
  <c r="AC81" i="1"/>
  <c r="AD80" i="1"/>
  <c r="AC80" i="1"/>
  <c r="AD78" i="1"/>
  <c r="AC78" i="1"/>
  <c r="AD77" i="1"/>
  <c r="AC77" i="1"/>
  <c r="AD76" i="1"/>
  <c r="AC76" i="1"/>
  <c r="AD75" i="1"/>
  <c r="AC75" i="1"/>
  <c r="AD73" i="1"/>
  <c r="AC73" i="1"/>
  <c r="AD72" i="1"/>
  <c r="AC72" i="1"/>
  <c r="AD71" i="1"/>
  <c r="AC71" i="1"/>
  <c r="AD70" i="1"/>
  <c r="AC70" i="1"/>
  <c r="AD68" i="1"/>
  <c r="AC68" i="1"/>
  <c r="AD67" i="1"/>
  <c r="AC67" i="1"/>
  <c r="AD66" i="1"/>
  <c r="AC66" i="1"/>
  <c r="AD65" i="1"/>
  <c r="AC65" i="1"/>
  <c r="AD18" i="1"/>
  <c r="AC18" i="1"/>
  <c r="AD17" i="1"/>
  <c r="AC17" i="1"/>
  <c r="AD16" i="1"/>
  <c r="AC16" i="1"/>
  <c r="AD15" i="1"/>
  <c r="AC15" i="1"/>
  <c r="AD23" i="1"/>
  <c r="AC23" i="1"/>
  <c r="AD22" i="1"/>
  <c r="AC22" i="1"/>
  <c r="AD21" i="1"/>
  <c r="AC21" i="1"/>
  <c r="AD20" i="1"/>
  <c r="AC20" i="1"/>
  <c r="AD28" i="1"/>
  <c r="AC28" i="1"/>
  <c r="AD27" i="1"/>
  <c r="AC27" i="1"/>
  <c r="AD26" i="1"/>
  <c r="AC26" i="1"/>
  <c r="AD25" i="1"/>
  <c r="AC25" i="1"/>
  <c r="AD43" i="1"/>
  <c r="AC43" i="1"/>
  <c r="AD42" i="1"/>
  <c r="AC42" i="1"/>
  <c r="AD41" i="1"/>
  <c r="AC41" i="1"/>
  <c r="AD40" i="1"/>
  <c r="AC40" i="1"/>
  <c r="AD13" i="1"/>
  <c r="AC13" i="1"/>
  <c r="AD12" i="1"/>
  <c r="AC12" i="1"/>
  <c r="AD11" i="1"/>
  <c r="AC11" i="1"/>
  <c r="AD10" i="1"/>
  <c r="AC10" i="1"/>
  <c r="AD58" i="1"/>
  <c r="AC58" i="1"/>
  <c r="AD57" i="1"/>
  <c r="AC57" i="1"/>
  <c r="AD56" i="1"/>
  <c r="AC56" i="1"/>
  <c r="AD55" i="1"/>
  <c r="AC55" i="1"/>
  <c r="AD63" i="1"/>
  <c r="AC63" i="1"/>
  <c r="AD62" i="1"/>
  <c r="AC62" i="1"/>
  <c r="AD61" i="1"/>
  <c r="AC61" i="1"/>
  <c r="AD60" i="1"/>
  <c r="AC60" i="1"/>
  <c r="AD53" i="1"/>
  <c r="AC53" i="1"/>
  <c r="AD52" i="1"/>
  <c r="AC52" i="1"/>
  <c r="AD51" i="1"/>
  <c r="AC51" i="1"/>
  <c r="AD50" i="1"/>
  <c r="AC50" i="1"/>
  <c r="AD8" i="1"/>
  <c r="AC8" i="1"/>
  <c r="AD7" i="1"/>
  <c r="AC7" i="1"/>
  <c r="AD6" i="1"/>
  <c r="AC6" i="1"/>
  <c r="AD5" i="1"/>
  <c r="AC5" i="1"/>
  <c r="T13" i="1"/>
  <c r="S13" i="1"/>
  <c r="T12" i="1"/>
  <c r="S12" i="1"/>
  <c r="T11" i="1"/>
  <c r="S11" i="1"/>
  <c r="T10" i="1"/>
  <c r="S10" i="1"/>
  <c r="AX28" i="1"/>
  <c r="AW28" i="1"/>
  <c r="AX27" i="1"/>
  <c r="AW27" i="1"/>
  <c r="AX26" i="1"/>
  <c r="AW26" i="1"/>
  <c r="AX25" i="1"/>
  <c r="AW25" i="1"/>
  <c r="T8" i="1"/>
  <c r="S8" i="1"/>
  <c r="T7" i="1"/>
  <c r="S7" i="1"/>
  <c r="T6" i="1"/>
  <c r="S6" i="1"/>
  <c r="T5" i="1"/>
  <c r="S5" i="1"/>
  <c r="AN23" i="1"/>
  <c r="AM23" i="1"/>
  <c r="AN22" i="1"/>
  <c r="AM22" i="1"/>
  <c r="AN21" i="1"/>
  <c r="AM21" i="1"/>
  <c r="AN20" i="1"/>
  <c r="AM20" i="1"/>
  <c r="AX23" i="1"/>
  <c r="AW23" i="1"/>
  <c r="AX22" i="1"/>
  <c r="AW22" i="1"/>
  <c r="AX21" i="1"/>
  <c r="AW21" i="1"/>
  <c r="AX20" i="1"/>
  <c r="AW20" i="1"/>
  <c r="AD33" i="1"/>
  <c r="AC33" i="1"/>
  <c r="AD32" i="1"/>
  <c r="AC32" i="1"/>
  <c r="AD31" i="1"/>
  <c r="AC31" i="1"/>
  <c r="AD30" i="1"/>
  <c r="AC30" i="1"/>
  <c r="AN18" i="1"/>
  <c r="AM18" i="1"/>
  <c r="AN17" i="1"/>
  <c r="AM17" i="1"/>
  <c r="AN16" i="1"/>
  <c r="AM16" i="1"/>
  <c r="AN15" i="1"/>
  <c r="AM15" i="1"/>
  <c r="AN13" i="1"/>
  <c r="AM13" i="1"/>
  <c r="AN12" i="1"/>
  <c r="AM12" i="1"/>
  <c r="AN11" i="1"/>
  <c r="AM11" i="1"/>
  <c r="AN10" i="1"/>
  <c r="AM10" i="1"/>
  <c r="AN8" i="1"/>
  <c r="AM8" i="1"/>
  <c r="AN7" i="1"/>
  <c r="AM7" i="1"/>
  <c r="AN6" i="1"/>
  <c r="AM6" i="1"/>
  <c r="AN5" i="1"/>
  <c r="AM5" i="1"/>
  <c r="AX18" i="1"/>
  <c r="AW18" i="1"/>
  <c r="AX17" i="1"/>
  <c r="AW17" i="1"/>
  <c r="AX16" i="1"/>
  <c r="AW16" i="1"/>
  <c r="AX15" i="1"/>
  <c r="AW15" i="1"/>
  <c r="AX13" i="1"/>
  <c r="AW13" i="1"/>
  <c r="AX12" i="1"/>
  <c r="AW12" i="1"/>
  <c r="AX11" i="1"/>
  <c r="AW11" i="1"/>
  <c r="AX10" i="1"/>
  <c r="AW10" i="1"/>
  <c r="AX8" i="1"/>
  <c r="AW8" i="1"/>
  <c r="AX7" i="1"/>
  <c r="AW7" i="1"/>
  <c r="AX6" i="1"/>
  <c r="AW6" i="1"/>
  <c r="AX5" i="1"/>
  <c r="AW5" i="1"/>
  <c r="AD48" i="1"/>
  <c r="AC48" i="1"/>
  <c r="AD47" i="1"/>
  <c r="AC47" i="1"/>
  <c r="AD46" i="1"/>
  <c r="AC46" i="1"/>
  <c r="AD45" i="1"/>
  <c r="AC45" i="1"/>
  <c r="AD38" i="1"/>
  <c r="AC38" i="1"/>
  <c r="AD37" i="1"/>
  <c r="AC37" i="1"/>
  <c r="AD36" i="1"/>
  <c r="AC36" i="1"/>
  <c r="AD35" i="1"/>
  <c r="AC35" i="1"/>
</calcChain>
</file>

<file path=xl/sharedStrings.xml><?xml version="1.0" encoding="utf-8"?>
<sst xmlns="http://schemas.openxmlformats.org/spreadsheetml/2006/main" count="2215" uniqueCount="212">
  <si>
    <t>2333.1.0.1</t>
  </si>
  <si>
    <t>Life ID</t>
  </si>
  <si>
    <t>Class</t>
  </si>
  <si>
    <t>Life</t>
  </si>
  <si>
    <t>Run</t>
  </si>
  <si>
    <t>Ore</t>
  </si>
  <si>
    <t>Org</t>
  </si>
  <si>
    <t>NTE</t>
  </si>
  <si>
    <t>Ore Ratio</t>
  </si>
  <si>
    <t>Org Ratio</t>
  </si>
  <si>
    <t>2433.1.0.1</t>
  </si>
  <si>
    <t>1234.1.0.1</t>
  </si>
  <si>
    <t>3323.1.0.1</t>
  </si>
  <si>
    <t>4426.1.0.1</t>
  </si>
  <si>
    <t>Blob</t>
  </si>
  <si>
    <t>5767.1.0.1</t>
  </si>
  <si>
    <t>2647.1.0.1</t>
  </si>
  <si>
    <t>1467.1.0.1</t>
  </si>
  <si>
    <t>5667.1.0.1</t>
  </si>
  <si>
    <t>57661.0.1</t>
  </si>
  <si>
    <t>2455.1.0.1</t>
  </si>
  <si>
    <t>4645.1.0.1</t>
  </si>
  <si>
    <t>3666.1.0.1</t>
  </si>
  <si>
    <t>A+</t>
  </si>
  <si>
    <t>3467.1.0.1</t>
  </si>
  <si>
    <t>NV</t>
  </si>
  <si>
    <t>1324.1.0.1</t>
  </si>
  <si>
    <t>Solid</t>
  </si>
  <si>
    <t>Dynamic</t>
  </si>
  <si>
    <t>Static</t>
  </si>
  <si>
    <t>4512.1.0.1</t>
  </si>
  <si>
    <t>6623.1.0.1</t>
  </si>
  <si>
    <t>6622.1.0.1</t>
  </si>
  <si>
    <t>1637.1.0.1</t>
  </si>
  <si>
    <t>3637.1.0.1</t>
  </si>
  <si>
    <t>1733.1.0.1</t>
  </si>
  <si>
    <t>1724.1.0.1</t>
  </si>
  <si>
    <t>1711.1.0.1</t>
  </si>
  <si>
    <t>1322.1.0.1</t>
  </si>
  <si>
    <t>1222.1.0.1</t>
  </si>
  <si>
    <t>Rigid</t>
  </si>
  <si>
    <t>1624.1.0.1</t>
  </si>
  <si>
    <t>1737.1.0.1</t>
  </si>
  <si>
    <t>Pulsing</t>
  </si>
  <si>
    <t>1235.1.0.1</t>
  </si>
  <si>
    <t>2334.1.0.1</t>
  </si>
  <si>
    <t>2323.1.0.1</t>
  </si>
  <si>
    <t>1433.1.0.1</t>
  </si>
  <si>
    <t>00</t>
  </si>
  <si>
    <t>01</t>
  </si>
  <si>
    <t>02</t>
  </si>
  <si>
    <t>0111.1.0.1</t>
  </si>
  <si>
    <t>"Cube-Dance"</t>
  </si>
  <si>
    <t>0211.1.0.1</t>
  </si>
  <si>
    <t>0123.1.0.1</t>
  </si>
  <si>
    <t>0212.1.0.1</t>
  </si>
  <si>
    <t>0112.1.0.1</t>
  </si>
  <si>
    <t>Gaseous</t>
  </si>
  <si>
    <t>0117.1.0.1</t>
  </si>
  <si>
    <t>1535.1.0.1</t>
  </si>
  <si>
    <t>Solid-Circular</t>
  </si>
  <si>
    <t>0433.1.0.1</t>
  </si>
  <si>
    <t>Liquid</t>
  </si>
  <si>
    <t>0133.1.0.1</t>
  </si>
  <si>
    <t>2444.1.0.1</t>
  </si>
  <si>
    <t>1647.1.0.1</t>
  </si>
  <si>
    <t>03</t>
  </si>
  <si>
    <t>04</t>
  </si>
  <si>
    <t>05</t>
  </si>
  <si>
    <t>06</t>
  </si>
  <si>
    <t>07</t>
  </si>
  <si>
    <t>08</t>
  </si>
  <si>
    <t>11</t>
  </si>
  <si>
    <t>12</t>
  </si>
  <si>
    <t>13</t>
  </si>
  <si>
    <t>14</t>
  </si>
  <si>
    <t>15</t>
  </si>
  <si>
    <t>16</t>
  </si>
  <si>
    <t>17</t>
  </si>
  <si>
    <t>18</t>
  </si>
  <si>
    <t>22</t>
  </si>
  <si>
    <t>23</t>
  </si>
  <si>
    <t>24</t>
  </si>
  <si>
    <t>25</t>
  </si>
  <si>
    <t>26</t>
  </si>
  <si>
    <t>27</t>
  </si>
  <si>
    <t>28</t>
  </si>
  <si>
    <t>33</t>
  </si>
  <si>
    <t>34</t>
  </si>
  <si>
    <t>35</t>
  </si>
  <si>
    <t>36</t>
  </si>
  <si>
    <t>37</t>
  </si>
  <si>
    <t>38</t>
  </si>
  <si>
    <t>44</t>
  </si>
  <si>
    <t>45</t>
  </si>
  <si>
    <t>46</t>
  </si>
  <si>
    <t>47</t>
  </si>
  <si>
    <t>48</t>
  </si>
  <si>
    <t>55</t>
  </si>
  <si>
    <t>56</t>
  </si>
  <si>
    <t>57</t>
  </si>
  <si>
    <t>58</t>
  </si>
  <si>
    <t>66</t>
  </si>
  <si>
    <t>67</t>
  </si>
  <si>
    <t>68</t>
  </si>
  <si>
    <t>77</t>
  </si>
  <si>
    <t>78</t>
  </si>
  <si>
    <t>88</t>
  </si>
  <si>
    <t>BGD</t>
  </si>
  <si>
    <t>BGS</t>
  </si>
  <si>
    <t>BSD</t>
  </si>
  <si>
    <t>BSP</t>
  </si>
  <si>
    <t>BLS</t>
  </si>
  <si>
    <t>BSS</t>
  </si>
  <si>
    <t>BLD</t>
  </si>
  <si>
    <t>0311.1.0.1</t>
  </si>
  <si>
    <t>0411.1.0.1</t>
  </si>
  <si>
    <t>0511.1.0.1</t>
  </si>
  <si>
    <t>BGP</t>
  </si>
  <si>
    <t>BLP</t>
  </si>
  <si>
    <t>The four main parameters to these cellular automata are as follow:</t>
  </si>
  <si>
    <t>The minimum number of neighbors a dead cell must have to become living</t>
  </si>
  <si>
    <t>The minimum number of neighbors an alive cell must have to keep living</t>
  </si>
  <si>
    <t>The maximum number of neighbors a dead cell can have to become living</t>
  </si>
  <si>
    <t>The maxumum number of neighbors an alive cell can have to keep living</t>
  </si>
  <si>
    <t>where:</t>
  </si>
  <si>
    <t>Live Underpopulation - Lu</t>
  </si>
  <si>
    <t>Live Overpopulation - Lo</t>
  </si>
  <si>
    <t>Dead Underpopulation - Du</t>
  </si>
  <si>
    <t>Dead Overpopulation - Do</t>
  </si>
  <si>
    <t>0 &lt;= Lu &lt;= Lo &lt;= 8</t>
  </si>
  <si>
    <t>1 &lt;= Du &lt;= Do &lt;= 8</t>
  </si>
  <si>
    <t>There are then 1620 different types of life in the main sequence</t>
  </si>
  <si>
    <t>Main Sequence Parameters</t>
  </si>
  <si>
    <t>Main Sequence Classes</t>
  </si>
  <si>
    <t xml:space="preserve">These lifeforms are partitioned into classes based on their behavior. </t>
  </si>
  <si>
    <t>These classes are as follow:</t>
  </si>
  <si>
    <t>Blob - Lifeforms that grow continuously, filling their container.</t>
  </si>
  <si>
    <t>Static - Lifeform finds arrangement in which cells do not die or ressurect</t>
  </si>
  <si>
    <t>Dynamic - Lifeform cannot find arrangement in which cells do not die or ressurect</t>
  </si>
  <si>
    <t>Param 1</t>
  </si>
  <si>
    <t>Param 2</t>
  </si>
  <si>
    <t xml:space="preserve">Pulsing - Lifeform finds arrangement in which somes cells do not die or ressurect </t>
  </si>
  <si>
    <t>Solid - Border of lifeform advances rigidly and as a "unified front"</t>
  </si>
  <si>
    <t xml:space="preserve">Liquid - Border of lifeform does not advance rigidly, but rather in "waves" or "spills" </t>
  </si>
  <si>
    <t>Gaseous - Border of lifeform advances in "pulses" or "particles"</t>
  </si>
  <si>
    <t>Closed - Lifeform tends towards closed shapes delineating life from empty space</t>
  </si>
  <si>
    <t>Open - Lifeform tends towards no delination between life and empty space</t>
  </si>
  <si>
    <t>NV - Non-viable life, which is incapable of existing for any meaningful amount of time.</t>
  </si>
  <si>
    <t xml:space="preserve">SV - Super-viable life, which fills in all spaces in grid. </t>
  </si>
  <si>
    <t>Special Notice</t>
  </si>
  <si>
    <t>Conways Game of Life</t>
  </si>
  <si>
    <t>Setup 4</t>
  </si>
  <si>
    <t>(48+)33</t>
  </si>
  <si>
    <t>VOS</t>
  </si>
  <si>
    <t>VCS</t>
  </si>
  <si>
    <t>VOD</t>
  </si>
  <si>
    <t>VCD</t>
  </si>
  <si>
    <t>Viable - Lifeforms that are unpredictable in whether they will grow or shrink</t>
  </si>
  <si>
    <t>VCD - AMEOBA</t>
  </si>
  <si>
    <t>Lu and Lo govern the energy of the life: lower -&gt; higher energy, vice versa</t>
  </si>
  <si>
    <t>Du and Do govern the spreading behavior of the life: lower -&gt; higher spreading</t>
  </si>
  <si>
    <t>VOP</t>
  </si>
  <si>
    <t>BSD - ROTATING 4TH DIMENSIONAL OBJECT</t>
  </si>
  <si>
    <t>BSS - ENOUGH MASS ON 2 MAKES A SUPERNOVA</t>
  </si>
  <si>
    <t>BSS - BIG TERRAIN GENERATOR</t>
  </si>
  <si>
    <t>BLS - SURROUNDS 2 WITH BLOD</t>
  </si>
  <si>
    <t>BSD - MACROSCOPIC SHAPES/GLYPHS</t>
  </si>
  <si>
    <t>Output</t>
  </si>
  <si>
    <t>Input</t>
  </si>
  <si>
    <t>Lu</t>
  </si>
  <si>
    <t>Lo</t>
  </si>
  <si>
    <t>Do</t>
  </si>
  <si>
    <t>Du</t>
  </si>
  <si>
    <t>Border</t>
  </si>
  <si>
    <t>Viability</t>
  </si>
  <si>
    <t>N</t>
  </si>
  <si>
    <t>S</t>
  </si>
  <si>
    <t>S+</t>
  </si>
  <si>
    <t>Generated</t>
  </si>
  <si>
    <t>Expected</t>
  </si>
  <si>
    <t>Cost:</t>
  </si>
  <si>
    <t>Vector:</t>
  </si>
  <si>
    <t>Cost_i</t>
  </si>
  <si>
    <t>Cost_sum</t>
  </si>
  <si>
    <t>n</t>
  </si>
  <si>
    <t>notes on backpropagation</t>
  </si>
  <si>
    <t>To increase generated value:</t>
  </si>
  <si>
    <t>Increase bias</t>
  </si>
  <si>
    <t>Increase weight</t>
  </si>
  <si>
    <t>Increase activation from previous layer</t>
  </si>
  <si>
    <t>weights and biases should be both positive and negative</t>
  </si>
  <si>
    <t>C0 = (a(L) - y)^2</t>
  </si>
  <si>
    <t>a(L) = tanh(z(L))</t>
  </si>
  <si>
    <t>z(L) = w(L)a(L-1) + b(L)</t>
  </si>
  <si>
    <t>dC / dw = dz/dw * da/dz * dC/da</t>
  </si>
  <si>
    <t>f(x)</t>
  </si>
  <si>
    <t>2(a(L) - y)</t>
  </si>
  <si>
    <t>tanh'(z(L))</t>
  </si>
  <si>
    <t>a(L-1)</t>
  </si>
  <si>
    <t>dCn/dw(L) = a(L-1)tanh'(z(L))2(a(L) - yn)</t>
  </si>
  <si>
    <t>dC / dw(L) = (1/n)SUM(0, n-1, dCi/dw(L))</t>
  </si>
  <si>
    <t>dw</t>
  </si>
  <si>
    <t>dC / db = dz/db * da/dz * dC/da</t>
  </si>
  <si>
    <t>db</t>
  </si>
  <si>
    <t>da(L-1)</t>
  </si>
  <si>
    <t>w(L)</t>
  </si>
  <si>
    <t>dC / da(L-1) = dz/da(L-1) * da/dz * dC/da</t>
  </si>
  <si>
    <t>V</t>
  </si>
  <si>
    <t>O</t>
  </si>
  <si>
    <t>D</t>
  </si>
  <si>
    <t>Old Notes (a few paradigm shifts old)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</si>
</sst>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43" fontId="0" fillId="0" borderId="0" xfId="1" applyFont="1"/>
    <xf numFmtId="43" fontId="0" fillId="0" borderId="0" xfId="1" applyFont="1" applyAlignment="1">
      <alignment vertical="center"/>
    </xf>
    <xf numFmtId="0" fontId="0" fillId="0" borderId="0" xfId="0" quotePrefix="1"/>
    <xf numFmtId="0" fontId="0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175260</xdr:rowOff>
        </xdr:from>
        <xdr:to>
          <xdr:col>9</xdr:col>
          <xdr:colOff>594360</xdr:colOff>
          <xdr:row>20</xdr:row>
          <xdr:rowOff>22860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175260</xdr:rowOff>
        </xdr:from>
        <xdr:to>
          <xdr:col>9</xdr:col>
          <xdr:colOff>594360</xdr:colOff>
          <xdr:row>23</xdr:row>
          <xdr:rowOff>22860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175260</xdr:rowOff>
        </xdr:from>
        <xdr:to>
          <xdr:col>9</xdr:col>
          <xdr:colOff>594360</xdr:colOff>
          <xdr:row>26</xdr:row>
          <xdr:rowOff>22860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116A4-149A-4F78-86FC-444047CFF8F4}">
  <sheetPr codeName="Sheet1"/>
  <dimension ref="A1:AX356"/>
  <sheetViews>
    <sheetView topLeftCell="V1" workbookViewId="0">
      <selection activeCell="E18" sqref="E18"/>
    </sheetView>
  </sheetViews>
  <sheetFormatPr defaultRowHeight="14.4" x14ac:dyDescent="0.3"/>
  <cols>
    <col min="3" max="3" width="11" customWidth="1"/>
    <col min="9" max="10" width="8.88671875" style="2"/>
  </cols>
  <sheetData>
    <row r="1" spans="1:50" x14ac:dyDescent="0.3">
      <c r="A1" t="s">
        <v>211</v>
      </c>
    </row>
    <row r="3" spans="1:50" x14ac:dyDescent="0.3">
      <c r="C3" t="s">
        <v>1</v>
      </c>
      <c r="D3" t="s">
        <v>2</v>
      </c>
      <c r="E3" t="s">
        <v>4</v>
      </c>
      <c r="F3" t="s">
        <v>5</v>
      </c>
      <c r="G3" t="s">
        <v>6</v>
      </c>
      <c r="H3" t="s">
        <v>7</v>
      </c>
      <c r="I3" s="2" t="s">
        <v>8</v>
      </c>
      <c r="J3" s="2" t="s">
        <v>9</v>
      </c>
      <c r="M3" t="s">
        <v>1</v>
      </c>
      <c r="N3" t="s">
        <v>2</v>
      </c>
      <c r="O3" t="s">
        <v>4</v>
      </c>
      <c r="P3" t="s">
        <v>5</v>
      </c>
      <c r="Q3" t="s">
        <v>6</v>
      </c>
      <c r="R3" t="s">
        <v>7</v>
      </c>
      <c r="S3" s="2" t="s">
        <v>8</v>
      </c>
      <c r="T3" s="2" t="s">
        <v>9</v>
      </c>
      <c r="W3" t="s">
        <v>1</v>
      </c>
      <c r="X3" t="s">
        <v>2</v>
      </c>
      <c r="Y3" t="s">
        <v>4</v>
      </c>
      <c r="Z3" t="s">
        <v>5</v>
      </c>
      <c r="AA3" t="s">
        <v>6</v>
      </c>
      <c r="AB3" t="s">
        <v>7</v>
      </c>
      <c r="AC3" s="2" t="s">
        <v>8</v>
      </c>
      <c r="AD3" s="2" t="s">
        <v>9</v>
      </c>
      <c r="AG3" t="s">
        <v>1</v>
      </c>
      <c r="AH3" t="s">
        <v>2</v>
      </c>
      <c r="AI3" t="s">
        <v>4</v>
      </c>
      <c r="AJ3" t="s">
        <v>5</v>
      </c>
      <c r="AK3" t="s">
        <v>6</v>
      </c>
      <c r="AL3" t="s">
        <v>7</v>
      </c>
      <c r="AM3" s="2" t="s">
        <v>8</v>
      </c>
      <c r="AN3" s="2" t="s">
        <v>9</v>
      </c>
      <c r="AQ3" t="s">
        <v>1</v>
      </c>
      <c r="AR3" t="s">
        <v>2</v>
      </c>
      <c r="AS3" t="s">
        <v>4</v>
      </c>
      <c r="AT3" t="s">
        <v>5</v>
      </c>
      <c r="AU3" t="s">
        <v>6</v>
      </c>
      <c r="AV3" t="s">
        <v>7</v>
      </c>
      <c r="AW3" s="2" t="s">
        <v>8</v>
      </c>
      <c r="AX3" s="2" t="s">
        <v>9</v>
      </c>
    </row>
    <row r="4" spans="1:50" x14ac:dyDescent="0.3">
      <c r="S4" s="2"/>
      <c r="T4" s="2"/>
    </row>
    <row r="5" spans="1:50" x14ac:dyDescent="0.3">
      <c r="C5" t="s">
        <v>115</v>
      </c>
      <c r="D5" t="s">
        <v>14</v>
      </c>
      <c r="E5">
        <v>1</v>
      </c>
      <c r="F5">
        <v>3748.27</v>
      </c>
      <c r="G5">
        <v>17.04</v>
      </c>
      <c r="H5">
        <v>14.17</v>
      </c>
      <c r="I5" s="2">
        <f>F5/H5</f>
        <v>264.52152434721245</v>
      </c>
      <c r="J5" s="2">
        <f>G5/H5</f>
        <v>1.2025405786873675</v>
      </c>
      <c r="L5" t="s">
        <v>23</v>
      </c>
      <c r="M5" t="s">
        <v>0</v>
      </c>
      <c r="N5" t="s">
        <v>3</v>
      </c>
      <c r="O5">
        <v>1</v>
      </c>
      <c r="P5" s="1">
        <v>215.32</v>
      </c>
      <c r="Q5" s="1">
        <v>2226.81</v>
      </c>
      <c r="R5" s="1">
        <v>31.23</v>
      </c>
      <c r="S5" s="2">
        <f>P5/R5</f>
        <v>6.8946525776496959</v>
      </c>
      <c r="T5" s="2">
        <f>Q5/R5</f>
        <v>71.303554274735831</v>
      </c>
      <c r="W5" t="s">
        <v>26</v>
      </c>
      <c r="X5" t="s">
        <v>14</v>
      </c>
      <c r="Y5">
        <v>1</v>
      </c>
      <c r="Z5" s="1">
        <v>236.34</v>
      </c>
      <c r="AA5" s="1">
        <v>933.82</v>
      </c>
      <c r="AB5" s="1">
        <v>480.98</v>
      </c>
      <c r="AC5" s="2">
        <f>Z5/AB5</f>
        <v>0.49137178261050357</v>
      </c>
      <c r="AD5" s="2">
        <f>AA5/AB5</f>
        <v>1.9414944488336314</v>
      </c>
      <c r="AF5" t="s">
        <v>23</v>
      </c>
      <c r="AG5" s="2" t="s">
        <v>16</v>
      </c>
      <c r="AH5" t="s">
        <v>40</v>
      </c>
      <c r="AI5">
        <v>1</v>
      </c>
      <c r="AJ5" s="1">
        <v>468.66</v>
      </c>
      <c r="AK5" s="1">
        <v>7.86</v>
      </c>
      <c r="AL5" s="1">
        <v>7.44</v>
      </c>
      <c r="AM5" s="2">
        <f>AJ5/AL5</f>
        <v>62.991935483870968</v>
      </c>
      <c r="AN5" s="2">
        <f>AK5/AL5</f>
        <v>1.0564516129032258</v>
      </c>
      <c r="AQ5" t="s">
        <v>19</v>
      </c>
      <c r="AR5" t="s">
        <v>25</v>
      </c>
      <c r="AS5">
        <v>1</v>
      </c>
      <c r="AT5" s="1">
        <v>0.01</v>
      </c>
      <c r="AU5" s="1">
        <v>0.01</v>
      </c>
      <c r="AV5" s="1">
        <v>2.5099999999999998</v>
      </c>
      <c r="AW5" s="2">
        <f>AT5/AV5</f>
        <v>3.9840637450199211E-3</v>
      </c>
      <c r="AX5" s="2">
        <f>AU5/AV5</f>
        <v>3.9840637450199211E-3</v>
      </c>
    </row>
    <row r="6" spans="1:50" x14ac:dyDescent="0.3">
      <c r="D6" t="s">
        <v>62</v>
      </c>
      <c r="E6">
        <v>2</v>
      </c>
      <c r="F6">
        <v>2902.65</v>
      </c>
      <c r="G6">
        <v>284.33</v>
      </c>
      <c r="H6">
        <v>9.0399999999999991</v>
      </c>
      <c r="I6" s="2">
        <f>F6/H6</f>
        <v>321.08960176991155</v>
      </c>
      <c r="J6" s="2">
        <f>G6/H6</f>
        <v>31.452433628318584</v>
      </c>
      <c r="O6">
        <v>2</v>
      </c>
      <c r="P6" s="1">
        <v>38.11</v>
      </c>
      <c r="Q6" s="1">
        <v>8.56</v>
      </c>
      <c r="R6" s="1">
        <v>1.51</v>
      </c>
      <c r="S6" s="2">
        <f>P6/R6</f>
        <v>25.23841059602649</v>
      </c>
      <c r="T6" s="2">
        <f>Q6/R6</f>
        <v>5.668874172185431</v>
      </c>
      <c r="U6" s="2"/>
      <c r="X6" t="s">
        <v>27</v>
      </c>
      <c r="Y6">
        <v>2</v>
      </c>
      <c r="Z6" s="1">
        <v>187.01</v>
      </c>
      <c r="AA6" s="1">
        <v>2023.69</v>
      </c>
      <c r="AB6" s="1">
        <v>401.25</v>
      </c>
      <c r="AC6" s="2">
        <f>Z6/AB6</f>
        <v>0.46606853582554514</v>
      </c>
      <c r="AD6" s="2">
        <f>AA6/AB6</f>
        <v>5.0434641744548285</v>
      </c>
      <c r="AH6" t="s">
        <v>28</v>
      </c>
      <c r="AI6">
        <v>2</v>
      </c>
      <c r="AJ6" s="1">
        <v>83.42</v>
      </c>
      <c r="AK6" s="1">
        <v>2.84</v>
      </c>
      <c r="AL6" s="1">
        <v>2.66</v>
      </c>
      <c r="AM6" s="2">
        <f>AJ6/AL6</f>
        <v>31.360902255639097</v>
      </c>
      <c r="AN6" s="2">
        <f>AK6/AL6</f>
        <v>1.0676691729323307</v>
      </c>
      <c r="AS6">
        <v>2</v>
      </c>
      <c r="AT6" s="1">
        <v>0.06</v>
      </c>
      <c r="AU6" s="1">
        <v>0</v>
      </c>
      <c r="AV6" s="1">
        <v>0.2</v>
      </c>
      <c r="AW6" s="2">
        <f>AT6/AV6</f>
        <v>0.3</v>
      </c>
      <c r="AX6" s="2">
        <f>AU6/AV6</f>
        <v>0</v>
      </c>
    </row>
    <row r="7" spans="1:50" x14ac:dyDescent="0.3">
      <c r="D7" t="s">
        <v>29</v>
      </c>
      <c r="E7">
        <v>3</v>
      </c>
      <c r="F7">
        <v>2598.8200000000002</v>
      </c>
      <c r="G7">
        <v>93.46</v>
      </c>
      <c r="H7">
        <v>7.71</v>
      </c>
      <c r="I7" s="2">
        <f>F7/H7</f>
        <v>337.0713359273671</v>
      </c>
      <c r="J7" s="2">
        <f>G7/H7</f>
        <v>12.121919584954604</v>
      </c>
      <c r="O7">
        <v>3</v>
      </c>
      <c r="P7" s="1">
        <v>138.78</v>
      </c>
      <c r="Q7" s="1">
        <v>84.18</v>
      </c>
      <c r="R7" s="1">
        <v>21.01</v>
      </c>
      <c r="S7" s="2">
        <f>P7/R7</f>
        <v>6.6054259876249404</v>
      </c>
      <c r="T7" s="2">
        <f>Q7/R7</f>
        <v>4.0066634935744885</v>
      </c>
      <c r="U7" s="2"/>
      <c r="X7" t="s">
        <v>28</v>
      </c>
      <c r="Y7">
        <v>3</v>
      </c>
      <c r="Z7" s="1">
        <v>199.02</v>
      </c>
      <c r="AA7" s="1">
        <v>1200.18</v>
      </c>
      <c r="AB7" s="1">
        <v>450.43</v>
      </c>
      <c r="AC7" s="2">
        <f>Z7/AB7</f>
        <v>0.44184445973847214</v>
      </c>
      <c r="AD7" s="2">
        <f>AA7/AB7</f>
        <v>2.6645205692338432</v>
      </c>
      <c r="AI7">
        <v>3</v>
      </c>
      <c r="AJ7" s="1">
        <v>575.9</v>
      </c>
      <c r="AK7" s="1">
        <v>257.02</v>
      </c>
      <c r="AL7" s="1">
        <v>55.46</v>
      </c>
      <c r="AM7" s="2">
        <f>AJ7/AL7</f>
        <v>10.384060584204832</v>
      </c>
      <c r="AN7" s="2">
        <f>AK7/AL7</f>
        <v>4.6343310494049765</v>
      </c>
      <c r="AS7">
        <v>3</v>
      </c>
      <c r="AT7" s="1">
        <v>0</v>
      </c>
      <c r="AU7" s="1">
        <v>0</v>
      </c>
      <c r="AV7" s="1">
        <v>0.77</v>
      </c>
      <c r="AW7" s="2">
        <f>AT7/AV7</f>
        <v>0</v>
      </c>
      <c r="AX7" s="2">
        <f>AU7/AV7</f>
        <v>0</v>
      </c>
    </row>
    <row r="8" spans="1:50" x14ac:dyDescent="0.3">
      <c r="E8">
        <v>4</v>
      </c>
      <c r="F8">
        <v>3113.8</v>
      </c>
      <c r="G8">
        <v>182.3</v>
      </c>
      <c r="H8">
        <v>21.98</v>
      </c>
      <c r="I8" s="2">
        <f>F8/H8</f>
        <v>141.66515013648771</v>
      </c>
      <c r="J8" s="2">
        <f>G8/H8</f>
        <v>8.2939035486806194</v>
      </c>
      <c r="O8">
        <v>4</v>
      </c>
      <c r="P8" s="1">
        <v>90.56</v>
      </c>
      <c r="Q8" s="1">
        <v>111.23</v>
      </c>
      <c r="R8" s="1">
        <v>24.96</v>
      </c>
      <c r="S8" s="2">
        <f>P8/R8</f>
        <v>3.6282051282051282</v>
      </c>
      <c r="T8" s="2">
        <f>Q8/R8</f>
        <v>4.4563301282051286</v>
      </c>
      <c r="U8" s="2"/>
      <c r="Y8">
        <v>4</v>
      </c>
      <c r="Z8" s="1">
        <v>189.72</v>
      </c>
      <c r="AA8" s="1">
        <v>1279.76</v>
      </c>
      <c r="AB8" s="1">
        <v>437.62</v>
      </c>
      <c r="AC8" s="2">
        <f>Z8/AB8</f>
        <v>0.43352680407659611</v>
      </c>
      <c r="AD8" s="2">
        <f>AA8/AB8</f>
        <v>2.9243636031259999</v>
      </c>
      <c r="AI8">
        <v>4</v>
      </c>
      <c r="AJ8" s="1">
        <v>619.45000000000005</v>
      </c>
      <c r="AK8" s="1">
        <v>321.74</v>
      </c>
      <c r="AL8" s="1">
        <v>64.599999999999994</v>
      </c>
      <c r="AM8" s="2">
        <f>AJ8/AL8</f>
        <v>9.5890092879256983</v>
      </c>
      <c r="AN8" s="2">
        <f>AK8/AL8</f>
        <v>4.9804953560371521</v>
      </c>
      <c r="AS8">
        <v>4</v>
      </c>
      <c r="AT8" s="1">
        <v>0.78</v>
      </c>
      <c r="AU8" s="1">
        <v>0</v>
      </c>
      <c r="AV8" s="1">
        <v>4.96</v>
      </c>
      <c r="AW8" s="2">
        <f>AT8/AV8</f>
        <v>0.15725806451612903</v>
      </c>
      <c r="AX8" s="2">
        <f>AU8/AV8</f>
        <v>0</v>
      </c>
    </row>
    <row r="9" spans="1:50" x14ac:dyDescent="0.3">
      <c r="S9" s="2"/>
      <c r="T9" s="2"/>
      <c r="U9" s="2"/>
      <c r="AJ9" s="1"/>
      <c r="AK9" s="1"/>
      <c r="AL9" s="1"/>
      <c r="AM9" s="2"/>
      <c r="AN9" s="2"/>
      <c r="AW9" s="2"/>
      <c r="AX9" s="2"/>
    </row>
    <row r="10" spans="1:50" x14ac:dyDescent="0.3">
      <c r="C10" t="s">
        <v>116</v>
      </c>
      <c r="D10" t="s">
        <v>14</v>
      </c>
      <c r="E10">
        <v>1</v>
      </c>
      <c r="F10">
        <v>4120.54</v>
      </c>
      <c r="G10">
        <v>9.18</v>
      </c>
      <c r="H10">
        <v>9.7899999999999991</v>
      </c>
      <c r="I10" s="2">
        <f>F10/H10</f>
        <v>420.89274770173648</v>
      </c>
      <c r="J10" s="2">
        <f>G10/H10</f>
        <v>0.93769152196118488</v>
      </c>
      <c r="L10" t="s">
        <v>23</v>
      </c>
      <c r="M10" t="s">
        <v>11</v>
      </c>
      <c r="N10" t="s">
        <v>3</v>
      </c>
      <c r="O10">
        <v>1</v>
      </c>
      <c r="P10" s="1">
        <v>165.93</v>
      </c>
      <c r="Q10" s="1">
        <v>4145.22</v>
      </c>
      <c r="R10" s="1">
        <v>147.38</v>
      </c>
      <c r="S10" s="2">
        <f>P10/R10</f>
        <v>1.125865110598453</v>
      </c>
      <c r="T10" s="2">
        <f>Q10/R10</f>
        <v>28.126068666033387</v>
      </c>
      <c r="U10" s="2"/>
      <c r="W10" t="s">
        <v>33</v>
      </c>
      <c r="X10" t="s">
        <v>14</v>
      </c>
      <c r="Y10">
        <v>1</v>
      </c>
      <c r="Z10" s="1">
        <v>1541.77</v>
      </c>
      <c r="AA10" s="1">
        <v>626.85</v>
      </c>
      <c r="AB10" s="1">
        <v>367.36</v>
      </c>
      <c r="AC10" s="2">
        <f>Z10/AB10</f>
        <v>4.1968913327526129</v>
      </c>
      <c r="AD10" s="2">
        <f>AA10/AB10</f>
        <v>1.7063643292682926</v>
      </c>
      <c r="AG10" t="s">
        <v>20</v>
      </c>
      <c r="AH10" t="s">
        <v>40</v>
      </c>
      <c r="AI10">
        <v>1</v>
      </c>
      <c r="AJ10" s="1">
        <v>275.22000000000003</v>
      </c>
      <c r="AK10" s="1">
        <v>0.35</v>
      </c>
      <c r="AL10" s="1">
        <v>2.83</v>
      </c>
      <c r="AM10" s="2">
        <f>AJ10/AL10</f>
        <v>97.250883392226157</v>
      </c>
      <c r="AN10" s="2">
        <f>AK10/AL10</f>
        <v>0.12367491166077738</v>
      </c>
      <c r="AQ10" t="s">
        <v>18</v>
      </c>
      <c r="AR10" t="s">
        <v>25</v>
      </c>
      <c r="AS10">
        <v>1</v>
      </c>
      <c r="AT10" s="1">
        <v>0.01</v>
      </c>
      <c r="AU10" s="1">
        <v>0</v>
      </c>
      <c r="AV10" s="1">
        <v>2.5</v>
      </c>
      <c r="AW10" s="2">
        <f>AT10/AV10</f>
        <v>4.0000000000000001E-3</v>
      </c>
      <c r="AX10" s="2">
        <f>AU10/AV10</f>
        <v>0</v>
      </c>
    </row>
    <row r="11" spans="1:50" x14ac:dyDescent="0.3">
      <c r="D11" t="s">
        <v>62</v>
      </c>
      <c r="E11">
        <v>2</v>
      </c>
      <c r="F11">
        <v>3346.34</v>
      </c>
      <c r="G11">
        <v>304.18</v>
      </c>
      <c r="H11">
        <v>7.78</v>
      </c>
      <c r="I11" s="2">
        <f>F11/H11</f>
        <v>430.12082262210799</v>
      </c>
      <c r="J11" s="2">
        <f>G11/H11</f>
        <v>39.097686375321338</v>
      </c>
      <c r="O11">
        <v>2</v>
      </c>
      <c r="P11" s="1">
        <v>5.13</v>
      </c>
      <c r="Q11" s="1">
        <v>0.77</v>
      </c>
      <c r="R11" s="1">
        <v>0.45</v>
      </c>
      <c r="S11" s="2">
        <f>P11/R11</f>
        <v>11.4</v>
      </c>
      <c r="T11" s="2">
        <f>Q11/R11</f>
        <v>1.711111111111111</v>
      </c>
      <c r="U11" s="2"/>
      <c r="X11" t="s">
        <v>27</v>
      </c>
      <c r="Y11">
        <v>2</v>
      </c>
      <c r="Z11" s="1">
        <v>924.95</v>
      </c>
      <c r="AA11" s="1">
        <v>3793.19</v>
      </c>
      <c r="AB11" s="1">
        <v>277.49</v>
      </c>
      <c r="AC11" s="2">
        <f>Z11/AB11</f>
        <v>3.3332732711088688</v>
      </c>
      <c r="AD11" s="2">
        <f>AA11/AB11</f>
        <v>13.669645753000108</v>
      </c>
      <c r="AH11" t="s">
        <v>28</v>
      </c>
      <c r="AI11">
        <v>2</v>
      </c>
      <c r="AJ11" s="1">
        <v>24.96</v>
      </c>
      <c r="AK11" s="1">
        <v>0.21</v>
      </c>
      <c r="AL11" s="1">
        <v>0.41</v>
      </c>
      <c r="AM11" s="2">
        <f>AJ11/AL11</f>
        <v>60.878048780487809</v>
      </c>
      <c r="AN11" s="2">
        <f>AK11/AL11</f>
        <v>0.51219512195121952</v>
      </c>
      <c r="AS11">
        <v>2</v>
      </c>
      <c r="AT11" s="1">
        <v>0.03</v>
      </c>
      <c r="AU11" s="1">
        <v>0</v>
      </c>
      <c r="AV11" s="1">
        <v>0.2</v>
      </c>
      <c r="AW11" s="2">
        <f>AT11/AV11</f>
        <v>0.15</v>
      </c>
      <c r="AX11" s="2">
        <f>AU11/AV11</f>
        <v>0</v>
      </c>
    </row>
    <row r="12" spans="1:50" x14ac:dyDescent="0.3">
      <c r="D12" t="s">
        <v>29</v>
      </c>
      <c r="E12">
        <v>3</v>
      </c>
      <c r="F12">
        <v>2977.34</v>
      </c>
      <c r="G12">
        <v>107.21</v>
      </c>
      <c r="H12">
        <v>6.14</v>
      </c>
      <c r="I12" s="2">
        <f>F12/H12</f>
        <v>484.90879478827367</v>
      </c>
      <c r="J12" s="2">
        <f>G12/H12</f>
        <v>17.460912052117262</v>
      </c>
      <c r="O12">
        <v>3</v>
      </c>
      <c r="P12" s="1">
        <v>160.11000000000001</v>
      </c>
      <c r="Q12" s="1">
        <v>1117.02</v>
      </c>
      <c r="R12" s="1">
        <v>46.46</v>
      </c>
      <c r="S12" s="2">
        <f>P12/R12</f>
        <v>3.4461902712010333</v>
      </c>
      <c r="T12" s="2">
        <f>Q12/R12</f>
        <v>24.042617305208783</v>
      </c>
      <c r="U12" s="2"/>
      <c r="X12" t="s">
        <v>28</v>
      </c>
      <c r="Y12">
        <v>3</v>
      </c>
      <c r="Z12" s="1">
        <v>1215.53</v>
      </c>
      <c r="AA12" s="1">
        <v>1450.12</v>
      </c>
      <c r="AB12" s="1">
        <v>331.44</v>
      </c>
      <c r="AC12" s="2">
        <f>Z12/AB12</f>
        <v>3.6674209510016897</v>
      </c>
      <c r="AD12" s="2">
        <f>AA12/AB12</f>
        <v>4.3752111996138066</v>
      </c>
      <c r="AI12">
        <v>3</v>
      </c>
      <c r="AJ12" s="1">
        <v>575</v>
      </c>
      <c r="AK12" s="1">
        <v>2</v>
      </c>
      <c r="AL12" s="1">
        <v>2.96</v>
      </c>
      <c r="AM12" s="2">
        <f>AJ12/AL12</f>
        <v>194.25675675675677</v>
      </c>
      <c r="AN12" s="2">
        <f>AK12/AL12</f>
        <v>0.67567567567567566</v>
      </c>
      <c r="AS12">
        <v>3</v>
      </c>
      <c r="AT12" s="1">
        <v>0</v>
      </c>
      <c r="AU12" s="1">
        <v>0</v>
      </c>
      <c r="AV12" s="1">
        <v>0.46</v>
      </c>
      <c r="AW12" s="2">
        <f>AT12/AV12</f>
        <v>0</v>
      </c>
      <c r="AX12" s="2">
        <f>AU12/AV12</f>
        <v>0</v>
      </c>
    </row>
    <row r="13" spans="1:50" x14ac:dyDescent="0.3">
      <c r="E13">
        <v>4</v>
      </c>
      <c r="F13">
        <v>3570.5</v>
      </c>
      <c r="G13">
        <v>151.76</v>
      </c>
      <c r="H13">
        <v>11.73</v>
      </c>
      <c r="I13" s="2">
        <f>F13/H13</f>
        <v>304.39045183290705</v>
      </c>
      <c r="J13" s="2">
        <f>G13/H13</f>
        <v>12.937766410912189</v>
      </c>
      <c r="O13">
        <v>4</v>
      </c>
      <c r="P13" s="1">
        <v>134.69</v>
      </c>
      <c r="Q13" s="1">
        <v>2326.1</v>
      </c>
      <c r="R13" s="1">
        <v>112.95</v>
      </c>
      <c r="S13" s="2">
        <f>P13/R13</f>
        <v>1.1924745462594069</v>
      </c>
      <c r="T13" s="2">
        <f>Q13/R13</f>
        <v>20.594068171757414</v>
      </c>
      <c r="U13" s="2"/>
      <c r="Y13">
        <v>4</v>
      </c>
      <c r="Z13" s="1">
        <v>1237.7</v>
      </c>
      <c r="AA13" s="1">
        <v>1418.88</v>
      </c>
      <c r="AB13" s="1">
        <v>335.63</v>
      </c>
      <c r="AC13" s="2">
        <f>Z13/AB13</f>
        <v>3.6876918034740638</v>
      </c>
      <c r="AD13" s="2">
        <f>AA13/AB13</f>
        <v>4.2275124392932701</v>
      </c>
      <c r="AI13">
        <v>4</v>
      </c>
      <c r="AJ13" s="1">
        <v>0.04</v>
      </c>
      <c r="AK13" s="1">
        <v>0</v>
      </c>
      <c r="AL13" s="1">
        <v>4.12</v>
      </c>
      <c r="AM13" s="2">
        <f>AJ13/AL13</f>
        <v>9.7087378640776691E-3</v>
      </c>
      <c r="AN13" s="2">
        <f>AK13/AL13</f>
        <v>0</v>
      </c>
      <c r="AS13">
        <v>4</v>
      </c>
      <c r="AT13" s="1">
        <v>0.78</v>
      </c>
      <c r="AU13" s="1">
        <v>0</v>
      </c>
      <c r="AV13" s="1">
        <v>4.9800000000000004</v>
      </c>
      <c r="AW13" s="2">
        <f>AT13/AV13</f>
        <v>0.15662650602409639</v>
      </c>
      <c r="AX13" s="2">
        <f>AU13/AV13</f>
        <v>0</v>
      </c>
    </row>
    <row r="14" spans="1:50" x14ac:dyDescent="0.3">
      <c r="P14" s="1"/>
      <c r="Q14" s="1"/>
      <c r="R14" s="1"/>
      <c r="S14" s="3"/>
      <c r="T14" s="2"/>
      <c r="U14" s="2"/>
      <c r="AM14" s="2"/>
      <c r="AN14" s="2"/>
      <c r="AW14" s="3"/>
      <c r="AX14" s="2"/>
    </row>
    <row r="15" spans="1:50" x14ac:dyDescent="0.3">
      <c r="C15" t="s">
        <v>117</v>
      </c>
      <c r="M15" t="s">
        <v>44</v>
      </c>
      <c r="N15" t="s">
        <v>3</v>
      </c>
      <c r="O15">
        <v>1</v>
      </c>
      <c r="P15" s="1">
        <v>147.86000000000001</v>
      </c>
      <c r="Q15" s="1">
        <v>5297.76</v>
      </c>
      <c r="R15" s="1">
        <v>290.56</v>
      </c>
      <c r="S15" s="2">
        <f>P15/R15</f>
        <v>0.50887940528634368</v>
      </c>
      <c r="T15" s="2">
        <f>Q15/R15</f>
        <v>18.232929515418501</v>
      </c>
      <c r="U15" s="2"/>
      <c r="W15" t="s">
        <v>37</v>
      </c>
      <c r="X15" t="s">
        <v>14</v>
      </c>
      <c r="Y15">
        <v>1</v>
      </c>
      <c r="Z15" s="1">
        <v>4760.79</v>
      </c>
      <c r="AA15" s="1">
        <v>7.75</v>
      </c>
      <c r="AB15" s="1">
        <v>9.11</v>
      </c>
      <c r="AC15" s="2">
        <f>Z15/AB15</f>
        <v>522.58946212952799</v>
      </c>
      <c r="AD15" s="2">
        <f>AA15/AB15</f>
        <v>0.85071350164654236</v>
      </c>
      <c r="AG15" t="s">
        <v>17</v>
      </c>
      <c r="AH15" t="s">
        <v>40</v>
      </c>
      <c r="AI15">
        <v>1</v>
      </c>
      <c r="AJ15" s="1">
        <v>1008.75</v>
      </c>
      <c r="AK15" s="1">
        <v>0.2</v>
      </c>
      <c r="AL15" s="1">
        <v>2.7</v>
      </c>
      <c r="AM15" s="2">
        <f>AJ15/AL15</f>
        <v>373.61111111111109</v>
      </c>
      <c r="AN15" s="2">
        <f>AK15/AL15</f>
        <v>7.407407407407407E-2</v>
      </c>
      <c r="AQ15" t="s">
        <v>15</v>
      </c>
      <c r="AR15" t="s">
        <v>25</v>
      </c>
      <c r="AS15">
        <v>1</v>
      </c>
      <c r="AT15" s="1">
        <v>0</v>
      </c>
      <c r="AU15" s="1">
        <v>0</v>
      </c>
      <c r="AV15" s="1">
        <v>2.5</v>
      </c>
      <c r="AW15" s="2">
        <f>AT15/AV15</f>
        <v>0</v>
      </c>
      <c r="AX15" s="2">
        <f>AU15/AV15</f>
        <v>0</v>
      </c>
    </row>
    <row r="16" spans="1:50" x14ac:dyDescent="0.3">
      <c r="O16">
        <v>2</v>
      </c>
      <c r="P16" s="1">
        <v>11.97</v>
      </c>
      <c r="Q16" s="1">
        <v>1891.97</v>
      </c>
      <c r="R16" s="1">
        <v>22.3</v>
      </c>
      <c r="S16" s="2">
        <f>P16/R16</f>
        <v>0.53677130044843047</v>
      </c>
      <c r="T16" s="2">
        <f>Q16/R16</f>
        <v>84.841704035874443</v>
      </c>
      <c r="U16" s="2"/>
      <c r="X16" t="s">
        <v>62</v>
      </c>
      <c r="Y16">
        <v>2</v>
      </c>
      <c r="Z16" s="1">
        <v>3777.24</v>
      </c>
      <c r="AA16" s="1">
        <v>259.12</v>
      </c>
      <c r="AB16" s="1">
        <v>7.36</v>
      </c>
      <c r="AC16" s="2">
        <f>Z16/AB16</f>
        <v>513.21195652173913</v>
      </c>
      <c r="AD16" s="2">
        <f>AA16/AB16</f>
        <v>35.206521739130437</v>
      </c>
      <c r="AH16" t="s">
        <v>29</v>
      </c>
      <c r="AI16">
        <v>2</v>
      </c>
      <c r="AJ16" s="1">
        <v>57.5</v>
      </c>
      <c r="AK16" s="1">
        <v>0</v>
      </c>
      <c r="AL16" s="1">
        <v>0.2</v>
      </c>
      <c r="AM16" s="2">
        <f>AJ16/AL16</f>
        <v>287.5</v>
      </c>
      <c r="AN16" s="2">
        <f>AK16/AL16</f>
        <v>0</v>
      </c>
      <c r="AS16" s="1">
        <v>2</v>
      </c>
      <c r="AT16" s="1">
        <v>0.06</v>
      </c>
      <c r="AU16" s="1">
        <v>0</v>
      </c>
      <c r="AV16" s="1">
        <v>0.2</v>
      </c>
      <c r="AW16" s="2">
        <f>AT16/AV16</f>
        <v>0.3</v>
      </c>
      <c r="AX16" s="2">
        <f>AU16/AV16</f>
        <v>0</v>
      </c>
    </row>
    <row r="17" spans="13:50" x14ac:dyDescent="0.3">
      <c r="O17">
        <v>3</v>
      </c>
      <c r="P17" s="1">
        <v>132.29</v>
      </c>
      <c r="Q17" s="1">
        <v>2498.11</v>
      </c>
      <c r="R17" s="1">
        <v>115.77</v>
      </c>
      <c r="S17" s="2">
        <f>P17/R17</f>
        <v>1.1426967262675995</v>
      </c>
      <c r="T17" s="2">
        <f>Q17/R17</f>
        <v>21.57821542714002</v>
      </c>
      <c r="U17" s="2"/>
      <c r="X17" t="s">
        <v>29</v>
      </c>
      <c r="Y17">
        <v>3</v>
      </c>
      <c r="Z17" s="1">
        <v>3349.45</v>
      </c>
      <c r="AA17" s="1">
        <v>99.1</v>
      </c>
      <c r="AB17" s="1">
        <v>6.06</v>
      </c>
      <c r="AC17" s="2">
        <f>Z17/AB17</f>
        <v>552.71452145214516</v>
      </c>
      <c r="AD17" s="2">
        <f>AA17/AB17</f>
        <v>16.353135313531354</v>
      </c>
      <c r="AI17">
        <v>3</v>
      </c>
      <c r="AJ17" s="1">
        <v>455</v>
      </c>
      <c r="AK17" s="1">
        <v>0</v>
      </c>
      <c r="AL17" s="1">
        <v>0.77</v>
      </c>
      <c r="AM17" s="2">
        <f>AJ17/AL17</f>
        <v>590.90909090909088</v>
      </c>
      <c r="AN17" s="2">
        <f>AK17/AL17</f>
        <v>0</v>
      </c>
      <c r="AS17">
        <v>3</v>
      </c>
      <c r="AT17" s="1">
        <v>0</v>
      </c>
      <c r="AU17" s="1">
        <v>0</v>
      </c>
      <c r="AV17" s="1">
        <v>0.77</v>
      </c>
      <c r="AW17" s="2">
        <f>AT17/AV17</f>
        <v>0</v>
      </c>
      <c r="AX17" s="2">
        <f>AU17/AV17</f>
        <v>0</v>
      </c>
    </row>
    <row r="18" spans="13:50" x14ac:dyDescent="0.3">
      <c r="O18">
        <v>4</v>
      </c>
      <c r="P18" s="1">
        <v>105.64</v>
      </c>
      <c r="Q18" s="1">
        <v>4807.79</v>
      </c>
      <c r="R18" s="1">
        <v>210.9</v>
      </c>
      <c r="S18" s="2">
        <f>P18/R18</f>
        <v>0.50090090090090089</v>
      </c>
      <c r="T18" s="2">
        <f>Q18/R18</f>
        <v>22.796538643907063</v>
      </c>
      <c r="U18" s="2"/>
      <c r="Y18">
        <v>4</v>
      </c>
      <c r="Z18" s="1">
        <v>3277.41</v>
      </c>
      <c r="AA18" s="1">
        <v>94.44</v>
      </c>
      <c r="AB18" s="1">
        <v>9.73</v>
      </c>
      <c r="AC18" s="2">
        <f>Z18/AB18</f>
        <v>336.83556012332986</v>
      </c>
      <c r="AD18" s="2">
        <f>AA18/AB18</f>
        <v>9.7060637204522084</v>
      </c>
      <c r="AI18">
        <v>4</v>
      </c>
      <c r="AJ18" s="1">
        <v>0.04</v>
      </c>
      <c r="AK18" s="1">
        <v>0</v>
      </c>
      <c r="AL18" s="1">
        <v>3.99</v>
      </c>
      <c r="AM18" s="2">
        <f>AJ18/AL18</f>
        <v>1.0025062656641603E-2</v>
      </c>
      <c r="AN18" s="2">
        <f>AK18/AL18</f>
        <v>0</v>
      </c>
      <c r="AS18">
        <v>4</v>
      </c>
      <c r="AT18" s="1">
        <v>0.8</v>
      </c>
      <c r="AU18" s="1">
        <v>0</v>
      </c>
      <c r="AV18" s="1">
        <v>4.8600000000000003</v>
      </c>
      <c r="AW18" s="2">
        <f>AT18/AV18</f>
        <v>0.16460905349794239</v>
      </c>
      <c r="AX18" s="2">
        <f>AU18/AV18</f>
        <v>0</v>
      </c>
    </row>
    <row r="19" spans="13:50" x14ac:dyDescent="0.3">
      <c r="S19" s="2"/>
      <c r="T19" s="2"/>
      <c r="U19" s="2"/>
    </row>
    <row r="20" spans="13:50" x14ac:dyDescent="0.3">
      <c r="M20" t="s">
        <v>45</v>
      </c>
      <c r="N20" t="s">
        <v>3</v>
      </c>
      <c r="O20">
        <v>1</v>
      </c>
      <c r="P20" s="1">
        <v>190.59</v>
      </c>
      <c r="Q20" s="1">
        <v>4101.2700000000004</v>
      </c>
      <c r="R20" s="1">
        <v>261.64</v>
      </c>
      <c r="S20" s="2">
        <f>P20/R20</f>
        <v>0.72844366304846364</v>
      </c>
      <c r="T20" s="2">
        <f>Q20/R20</f>
        <v>15.675240788870205</v>
      </c>
      <c r="U20" s="2"/>
      <c r="W20" t="s">
        <v>36</v>
      </c>
      <c r="X20" t="s">
        <v>14</v>
      </c>
      <c r="Y20">
        <v>1</v>
      </c>
      <c r="Z20" s="1">
        <v>7299.83</v>
      </c>
      <c r="AA20" s="1">
        <v>27.37</v>
      </c>
      <c r="AB20" s="1">
        <v>15.52</v>
      </c>
      <c r="AC20" s="2">
        <f>Z20/AB20</f>
        <v>470.34987113402065</v>
      </c>
      <c r="AD20" s="2">
        <f>AA20/AB20</f>
        <v>1.7635309278350517</v>
      </c>
      <c r="AG20" t="s">
        <v>22</v>
      </c>
      <c r="AH20" t="s">
        <v>40</v>
      </c>
      <c r="AI20">
        <v>1</v>
      </c>
      <c r="AJ20" s="1">
        <v>48.92</v>
      </c>
      <c r="AK20" s="1">
        <v>0</v>
      </c>
      <c r="AL20" s="1">
        <v>2.5</v>
      </c>
      <c r="AM20" s="2">
        <f>AJ20/AL20</f>
        <v>19.568000000000001</v>
      </c>
      <c r="AN20" s="2">
        <f>AK20/AL20</f>
        <v>0</v>
      </c>
      <c r="AQ20" t="s">
        <v>21</v>
      </c>
      <c r="AR20" t="s">
        <v>25</v>
      </c>
      <c r="AS20">
        <v>1</v>
      </c>
      <c r="AT20" s="1">
        <v>0.1</v>
      </c>
      <c r="AU20" s="1">
        <v>0.25</v>
      </c>
      <c r="AV20" s="1">
        <v>2.75</v>
      </c>
      <c r="AW20" s="2">
        <f>AT20/AV20</f>
        <v>3.6363636363636369E-2</v>
      </c>
      <c r="AX20" s="2">
        <f>AU20/AV20</f>
        <v>9.0909090909090912E-2</v>
      </c>
    </row>
    <row r="21" spans="13:50" x14ac:dyDescent="0.3">
      <c r="O21">
        <v>2</v>
      </c>
      <c r="P21" s="1">
        <v>38.159999999999997</v>
      </c>
      <c r="Q21" s="1">
        <v>4842.6000000000004</v>
      </c>
      <c r="R21" s="1">
        <v>49.96</v>
      </c>
      <c r="S21" s="2">
        <f>P21/R21</f>
        <v>0.76381104883907114</v>
      </c>
      <c r="T21" s="2">
        <f>Q21/R21</f>
        <v>96.92954363490793</v>
      </c>
      <c r="U21" s="2"/>
      <c r="X21" t="s">
        <v>27</v>
      </c>
      <c r="Y21">
        <v>2</v>
      </c>
      <c r="Z21" s="1">
        <v>5722.7</v>
      </c>
      <c r="AA21" s="1">
        <v>1179.6300000000001</v>
      </c>
      <c r="AB21" s="1">
        <v>16.059999999999999</v>
      </c>
      <c r="AC21" s="2">
        <f>Z21/AB21</f>
        <v>356.33250311332506</v>
      </c>
      <c r="AD21" s="2">
        <f>AA21/AB21</f>
        <v>73.45143212951433</v>
      </c>
      <c r="AH21" t="s">
        <v>29</v>
      </c>
      <c r="AI21">
        <v>2</v>
      </c>
      <c r="AJ21" s="1">
        <v>28.94</v>
      </c>
      <c r="AK21" s="1">
        <v>0.01</v>
      </c>
      <c r="AL21" s="1">
        <v>0.2</v>
      </c>
      <c r="AM21" s="2">
        <f>AJ21/AL21</f>
        <v>144.69999999999999</v>
      </c>
      <c r="AN21" s="2">
        <f>AK21/AL21</f>
        <v>4.9999999999999996E-2</v>
      </c>
      <c r="AS21">
        <v>2</v>
      </c>
      <c r="AT21" s="1">
        <v>0.22</v>
      </c>
      <c r="AU21" s="1">
        <v>0.11</v>
      </c>
      <c r="AV21" s="1">
        <v>0.3</v>
      </c>
      <c r="AW21" s="2">
        <f>AT21/AV21</f>
        <v>0.73333333333333339</v>
      </c>
      <c r="AX21" s="2">
        <f>AU21/AV21</f>
        <v>0.3666666666666667</v>
      </c>
    </row>
    <row r="22" spans="13:50" x14ac:dyDescent="0.3">
      <c r="O22">
        <v>3</v>
      </c>
      <c r="P22" s="1">
        <v>145.65</v>
      </c>
      <c r="Q22" s="1">
        <v>2920.27</v>
      </c>
      <c r="R22" s="1">
        <v>189.38</v>
      </c>
      <c r="S22" s="2">
        <f>P22/R22</f>
        <v>0.76908860492132225</v>
      </c>
      <c r="T22" s="2">
        <f>Q22/R22</f>
        <v>15.420160523814554</v>
      </c>
      <c r="U22" s="2"/>
      <c r="X22" t="s">
        <v>29</v>
      </c>
      <c r="Y22">
        <v>3</v>
      </c>
      <c r="Z22" s="1">
        <v>6089.59</v>
      </c>
      <c r="AA22" s="1">
        <v>283.22000000000003</v>
      </c>
      <c r="AB22" s="1">
        <v>15.85</v>
      </c>
      <c r="AC22" s="2">
        <f>Z22/AB22</f>
        <v>384.20126182965299</v>
      </c>
      <c r="AD22" s="2">
        <f>AA22/AB22</f>
        <v>17.86876971608833</v>
      </c>
      <c r="AI22">
        <v>3</v>
      </c>
      <c r="AJ22" s="1">
        <v>0.08</v>
      </c>
      <c r="AK22" s="1">
        <v>0</v>
      </c>
      <c r="AL22" s="1">
        <v>0.78</v>
      </c>
      <c r="AM22" s="2">
        <f>AJ22/AL22</f>
        <v>0.10256410256410256</v>
      </c>
      <c r="AN22" s="2">
        <f>AK22/AL22</f>
        <v>0</v>
      </c>
      <c r="AS22">
        <v>3</v>
      </c>
      <c r="AT22" s="1">
        <v>0</v>
      </c>
      <c r="AU22" s="1">
        <v>0.04</v>
      </c>
      <c r="AV22" s="1">
        <v>0.82</v>
      </c>
      <c r="AW22" s="2">
        <f>AT22/AV22</f>
        <v>0</v>
      </c>
      <c r="AX22" s="2">
        <f>AU22/AV22</f>
        <v>4.878048780487805E-2</v>
      </c>
    </row>
    <row r="23" spans="13:50" x14ac:dyDescent="0.3">
      <c r="O23">
        <v>4</v>
      </c>
      <c r="P23" s="1">
        <v>99.06</v>
      </c>
      <c r="Q23" s="1">
        <v>4823.0600000000004</v>
      </c>
      <c r="R23" s="1">
        <v>119.19</v>
      </c>
      <c r="S23" s="2">
        <f>P23/R23</f>
        <v>0.83110999244903094</v>
      </c>
      <c r="T23" s="2">
        <f>Q23/R23</f>
        <v>40.465307492239283</v>
      </c>
      <c r="U23" s="2"/>
      <c r="Y23">
        <v>4</v>
      </c>
      <c r="Z23" s="1">
        <v>6367.5</v>
      </c>
      <c r="AA23" s="1">
        <v>204.58</v>
      </c>
      <c r="AB23" s="1">
        <v>28.7</v>
      </c>
      <c r="AC23" s="2">
        <f>Z23/AB23</f>
        <v>221.86411149825784</v>
      </c>
      <c r="AD23" s="2">
        <f>AA23/AB23</f>
        <v>7.1282229965156798</v>
      </c>
      <c r="AI23">
        <v>4</v>
      </c>
      <c r="AJ23" s="1">
        <v>0.87</v>
      </c>
      <c r="AK23" s="1">
        <v>0</v>
      </c>
      <c r="AL23" s="1">
        <v>4.4800000000000004</v>
      </c>
      <c r="AM23" s="2">
        <f>AJ23/AL23</f>
        <v>0.19419642857142855</v>
      </c>
      <c r="AN23" s="2">
        <f>AK23/AL23</f>
        <v>0</v>
      </c>
      <c r="AS23">
        <v>4</v>
      </c>
      <c r="AT23" s="1">
        <v>0.64</v>
      </c>
      <c r="AU23" s="1">
        <v>0.04</v>
      </c>
      <c r="AV23" s="1">
        <v>3.46</v>
      </c>
      <c r="AW23" s="2">
        <f>AT23/AV23</f>
        <v>0.18497109826589597</v>
      </c>
      <c r="AX23" s="2">
        <f>AU23/AV23</f>
        <v>1.1560693641618498E-2</v>
      </c>
    </row>
    <row r="24" spans="13:50" x14ac:dyDescent="0.3">
      <c r="S24" s="2"/>
      <c r="T24" s="2"/>
      <c r="U24" s="2"/>
    </row>
    <row r="25" spans="13:50" x14ac:dyDescent="0.3">
      <c r="M25" t="s">
        <v>63</v>
      </c>
      <c r="N25" t="s">
        <v>3</v>
      </c>
      <c r="O25">
        <v>1</v>
      </c>
      <c r="P25">
        <v>728.42</v>
      </c>
      <c r="Q25">
        <v>37.68</v>
      </c>
      <c r="R25">
        <v>11.21</v>
      </c>
      <c r="S25" s="2">
        <f>P25/R25</f>
        <v>64.979482604817122</v>
      </c>
      <c r="T25" s="2">
        <f>Q25/R25</f>
        <v>3.3612845673505793</v>
      </c>
      <c r="U25" s="2"/>
      <c r="W25" t="s">
        <v>35</v>
      </c>
      <c r="X25" t="s">
        <v>14</v>
      </c>
      <c r="Y25">
        <v>1</v>
      </c>
      <c r="Z25" s="1">
        <v>6699.45</v>
      </c>
      <c r="AA25" s="1">
        <v>174.15</v>
      </c>
      <c r="AB25" s="1">
        <v>13.21</v>
      </c>
      <c r="AC25" s="2">
        <f>Z25/AB25</f>
        <v>507.14988644965928</v>
      </c>
      <c r="AD25" s="2">
        <f>AA25/AB25</f>
        <v>13.183194549583648</v>
      </c>
      <c r="AG25" t="s">
        <v>64</v>
      </c>
      <c r="AH25" t="s">
        <v>40</v>
      </c>
      <c r="AI25">
        <v>1</v>
      </c>
      <c r="AJ25" s="1">
        <v>314.25</v>
      </c>
      <c r="AK25" s="1">
        <v>0.79</v>
      </c>
      <c r="AL25" s="1">
        <v>3.07</v>
      </c>
      <c r="AM25" s="2">
        <f>AJ25/AL25</f>
        <v>102.36156351791531</v>
      </c>
      <c r="AN25" s="2">
        <f>AK25/AL25</f>
        <v>0.25732899022801303</v>
      </c>
      <c r="AQ25" t="s">
        <v>24</v>
      </c>
      <c r="AR25" t="s">
        <v>25</v>
      </c>
      <c r="AS25">
        <v>1</v>
      </c>
      <c r="AT25" s="1">
        <v>0.18</v>
      </c>
      <c r="AU25" s="1">
        <v>0</v>
      </c>
      <c r="AV25" s="1">
        <v>2.5</v>
      </c>
      <c r="AW25" s="2">
        <f>AT25/AV25</f>
        <v>7.1999999999999995E-2</v>
      </c>
      <c r="AX25" s="2">
        <f>AU25/AV25</f>
        <v>0</v>
      </c>
    </row>
    <row r="26" spans="13:50" x14ac:dyDescent="0.3">
      <c r="O26">
        <v>2</v>
      </c>
      <c r="P26">
        <v>42.6</v>
      </c>
      <c r="Q26">
        <v>0.04</v>
      </c>
      <c r="R26">
        <v>0.24</v>
      </c>
      <c r="S26" s="2">
        <f>P26/R26</f>
        <v>177.5</v>
      </c>
      <c r="T26" s="2">
        <f>Q26/R26</f>
        <v>0.16666666666666669</v>
      </c>
      <c r="X26" t="s">
        <v>62</v>
      </c>
      <c r="Y26">
        <v>2</v>
      </c>
      <c r="Z26" s="1">
        <v>1978.98</v>
      </c>
      <c r="AA26" s="1">
        <v>3264.52</v>
      </c>
      <c r="AB26" s="1">
        <v>7.16</v>
      </c>
      <c r="AC26" s="2">
        <f>Z26/AB26</f>
        <v>276.39385474860336</v>
      </c>
      <c r="AD26" s="2">
        <f>AA26/AB26</f>
        <v>455.93854748603349</v>
      </c>
      <c r="AH26" t="s">
        <v>29</v>
      </c>
      <c r="AI26">
        <v>2</v>
      </c>
      <c r="AJ26" s="1">
        <v>36.909999999999997</v>
      </c>
      <c r="AK26" s="1">
        <v>0.06</v>
      </c>
      <c r="AL26" s="1">
        <v>0.24</v>
      </c>
      <c r="AM26" s="2">
        <f>AJ26/AL26</f>
        <v>153.79166666666666</v>
      </c>
      <c r="AN26" s="2">
        <f>AK26/AL26</f>
        <v>0.25</v>
      </c>
      <c r="AS26">
        <v>2</v>
      </c>
      <c r="AT26" s="1">
        <v>0.08</v>
      </c>
      <c r="AU26" s="1">
        <v>0</v>
      </c>
      <c r="AV26" s="1">
        <v>0.2</v>
      </c>
      <c r="AW26" s="2">
        <f>AT26/AV26</f>
        <v>0.39999999999999997</v>
      </c>
      <c r="AX26" s="2">
        <f>AU26/AV26</f>
        <v>0</v>
      </c>
    </row>
    <row r="27" spans="13:50" x14ac:dyDescent="0.3">
      <c r="O27">
        <v>3</v>
      </c>
      <c r="P27">
        <v>334.54</v>
      </c>
      <c r="Q27">
        <v>49.65</v>
      </c>
      <c r="R27">
        <v>13.86</v>
      </c>
      <c r="S27" s="2">
        <f>P27/R27</f>
        <v>24.13708513708514</v>
      </c>
      <c r="T27" s="2">
        <f>Q27/R27</f>
        <v>3.5822510822510822</v>
      </c>
      <c r="U27" s="2"/>
      <c r="X27" t="s">
        <v>29</v>
      </c>
      <c r="Y27">
        <v>3</v>
      </c>
      <c r="Z27" s="1">
        <v>4743.8999999999996</v>
      </c>
      <c r="AA27" s="1">
        <v>927.78</v>
      </c>
      <c r="AB27" s="1">
        <v>11.73</v>
      </c>
      <c r="AC27" s="2">
        <f>Z27/AB27</f>
        <v>404.42455242966747</v>
      </c>
      <c r="AD27" s="2">
        <f>AA27/AB27</f>
        <v>79.094629156010228</v>
      </c>
      <c r="AI27">
        <v>3</v>
      </c>
      <c r="AJ27" s="1">
        <v>455</v>
      </c>
      <c r="AK27" s="1">
        <v>0</v>
      </c>
      <c r="AL27" s="1">
        <v>0.77</v>
      </c>
      <c r="AM27" s="2">
        <f>AJ27/AL27</f>
        <v>590.90909090909088</v>
      </c>
      <c r="AN27" s="2">
        <f>AK27/AL27</f>
        <v>0</v>
      </c>
      <c r="AS27">
        <v>3</v>
      </c>
      <c r="AT27" s="1">
        <v>0.08</v>
      </c>
      <c r="AU27" s="1">
        <v>0</v>
      </c>
      <c r="AV27" s="1">
        <v>0.78</v>
      </c>
      <c r="AW27" s="2">
        <f>AT27/AV27</f>
        <v>0.10256410256410256</v>
      </c>
      <c r="AX27" s="2">
        <f>AU27/AV27</f>
        <v>0</v>
      </c>
    </row>
    <row r="28" spans="13:50" x14ac:dyDescent="0.3">
      <c r="O28">
        <v>4</v>
      </c>
      <c r="P28">
        <v>70.45</v>
      </c>
      <c r="Q28">
        <v>29.38</v>
      </c>
      <c r="R28">
        <v>13.31</v>
      </c>
      <c r="S28" s="2">
        <f>P28/R28</f>
        <v>5.2930127723516156</v>
      </c>
      <c r="T28" s="2">
        <f>Q28/R28</f>
        <v>2.2073628850488354</v>
      </c>
      <c r="U28" s="2"/>
      <c r="Y28">
        <v>4</v>
      </c>
      <c r="Z28" s="1">
        <v>4934.58</v>
      </c>
      <c r="AA28" s="1">
        <v>491.54</v>
      </c>
      <c r="AB28" s="1">
        <v>18.88</v>
      </c>
      <c r="AC28" s="2">
        <f>Z28/AB28</f>
        <v>261.36546610169495</v>
      </c>
      <c r="AD28" s="2">
        <f>AA28/AB28</f>
        <v>26.034957627118647</v>
      </c>
      <c r="AI28">
        <v>4</v>
      </c>
      <c r="AJ28" s="1">
        <v>0.04</v>
      </c>
      <c r="AK28" s="1">
        <v>0</v>
      </c>
      <c r="AL28" s="1">
        <v>4.54</v>
      </c>
      <c r="AM28" s="2">
        <f>AJ28/AL28</f>
        <v>8.8105726872246704E-3</v>
      </c>
      <c r="AN28" s="2">
        <f>AK28/AL28</f>
        <v>0</v>
      </c>
      <c r="AS28">
        <v>4</v>
      </c>
      <c r="AT28" s="1">
        <v>0.04</v>
      </c>
      <c r="AU28" s="1">
        <v>0</v>
      </c>
      <c r="AV28" s="1">
        <v>3.7</v>
      </c>
      <c r="AW28" s="2">
        <f>AT28/AV28</f>
        <v>1.081081081081081E-2</v>
      </c>
      <c r="AX28" s="2">
        <f>AU28/AV28</f>
        <v>0</v>
      </c>
    </row>
    <row r="29" spans="13:50" x14ac:dyDescent="0.3">
      <c r="M29" s="1"/>
      <c r="S29" s="3"/>
      <c r="T29" s="2"/>
      <c r="U29" s="2"/>
    </row>
    <row r="30" spans="13:50" x14ac:dyDescent="0.3">
      <c r="S30" s="2"/>
      <c r="T30" s="2"/>
      <c r="U30" s="2"/>
      <c r="V30" t="s">
        <v>23</v>
      </c>
      <c r="W30" t="s">
        <v>10</v>
      </c>
      <c r="X30" t="s">
        <v>14</v>
      </c>
      <c r="Y30">
        <v>1</v>
      </c>
      <c r="Z30" s="1">
        <v>2684.48</v>
      </c>
      <c r="AA30" s="1">
        <v>1875.85</v>
      </c>
      <c r="AB30" s="1">
        <v>61.71</v>
      </c>
      <c r="AC30" s="2">
        <f>Z30/AB30</f>
        <v>43.501539458758707</v>
      </c>
      <c r="AD30" s="2">
        <f>AA30/AB30</f>
        <v>30.397828552908766</v>
      </c>
      <c r="AG30" t="s">
        <v>65</v>
      </c>
      <c r="AH30" t="s">
        <v>40</v>
      </c>
      <c r="AI30">
        <v>1</v>
      </c>
      <c r="AJ30" s="1">
        <v>1205.21</v>
      </c>
      <c r="AK30" s="1">
        <v>1832.36</v>
      </c>
      <c r="AL30" s="1">
        <v>45.34</v>
      </c>
      <c r="AM30" s="2">
        <f>AJ30/AL30</f>
        <v>26.581605646228496</v>
      </c>
      <c r="AN30" s="2">
        <f>AK30/AL30</f>
        <v>40.413762681958531</v>
      </c>
    </row>
    <row r="31" spans="13:50" x14ac:dyDescent="0.3">
      <c r="S31" s="2"/>
      <c r="T31" s="2"/>
      <c r="X31" t="s">
        <v>62</v>
      </c>
      <c r="Y31">
        <v>2</v>
      </c>
      <c r="Z31" s="1">
        <v>1093.43</v>
      </c>
      <c r="AA31" s="1">
        <v>9349.77</v>
      </c>
      <c r="AB31" s="1">
        <v>60.62</v>
      </c>
      <c r="AC31" s="2">
        <f>Z31/AB31</f>
        <v>18.037446387330917</v>
      </c>
      <c r="AD31" s="2">
        <f>AA31/AB31</f>
        <v>154.23573078192018</v>
      </c>
      <c r="AH31" t="s">
        <v>28</v>
      </c>
      <c r="AI31">
        <v>2</v>
      </c>
      <c r="AJ31" s="1">
        <v>95.23</v>
      </c>
      <c r="AK31" s="1">
        <v>4.9400000000000004</v>
      </c>
      <c r="AL31" s="1">
        <v>3.47</v>
      </c>
      <c r="AM31" s="2">
        <f>AJ31/AL31</f>
        <v>27.443804034582133</v>
      </c>
      <c r="AN31" s="2">
        <f>AK31/AL31</f>
        <v>1.4236311239193085</v>
      </c>
    </row>
    <row r="32" spans="13:50" x14ac:dyDescent="0.3">
      <c r="S32" s="2"/>
      <c r="T32" s="2"/>
      <c r="X32" t="s">
        <v>29</v>
      </c>
      <c r="Y32">
        <v>3</v>
      </c>
      <c r="Z32" s="1">
        <v>1960.75</v>
      </c>
      <c r="AA32" s="1">
        <v>2360.46</v>
      </c>
      <c r="AB32" s="1">
        <v>75.47</v>
      </c>
      <c r="AC32" s="2">
        <f>Z32/AB32</f>
        <v>25.980522061746388</v>
      </c>
      <c r="AD32" s="2">
        <f>AA32/AB32</f>
        <v>31.276798727971379</v>
      </c>
      <c r="AI32">
        <v>3</v>
      </c>
      <c r="AJ32" s="1">
        <v>585.29999999999995</v>
      </c>
      <c r="AK32" s="1">
        <v>277.22000000000003</v>
      </c>
      <c r="AL32" s="1">
        <v>56.96</v>
      </c>
      <c r="AM32" s="2">
        <f>AJ32/AL32</f>
        <v>10.275632022471909</v>
      </c>
      <c r="AN32" s="2">
        <f>AK32/AL32</f>
        <v>4.8669241573033712</v>
      </c>
    </row>
    <row r="33" spans="19:40" x14ac:dyDescent="0.3">
      <c r="S33" s="2"/>
      <c r="T33" s="2"/>
      <c r="Y33">
        <v>4</v>
      </c>
      <c r="Z33" s="1">
        <v>2531.62</v>
      </c>
      <c r="AA33" s="1">
        <v>1931.24</v>
      </c>
      <c r="AB33" s="1">
        <v>69.680000000000007</v>
      </c>
      <c r="AC33" s="2">
        <f>Z33/AB33</f>
        <v>36.332089552238799</v>
      </c>
      <c r="AD33" s="2">
        <f>AA33/AB33</f>
        <v>27.715843857634901</v>
      </c>
      <c r="AI33">
        <v>4</v>
      </c>
      <c r="AJ33" s="1">
        <v>476.03</v>
      </c>
      <c r="AK33" s="1">
        <v>234.9</v>
      </c>
      <c r="AL33" s="1">
        <v>44.13</v>
      </c>
      <c r="AM33" s="2">
        <f>AJ33/AL33</f>
        <v>10.786992975300247</v>
      </c>
      <c r="AN33" s="2">
        <f>AK33/AL33</f>
        <v>5.3229095853161112</v>
      </c>
    </row>
    <row r="34" spans="19:40" x14ac:dyDescent="0.3">
      <c r="S34" s="2"/>
      <c r="T34" s="2"/>
    </row>
    <row r="35" spans="19:40" x14ac:dyDescent="0.3">
      <c r="S35" s="2"/>
      <c r="T35" s="2"/>
      <c r="V35" t="s">
        <v>23</v>
      </c>
      <c r="W35" t="s">
        <v>12</v>
      </c>
      <c r="X35" t="s">
        <v>14</v>
      </c>
      <c r="Y35">
        <v>1</v>
      </c>
      <c r="Z35">
        <v>158.4</v>
      </c>
      <c r="AA35">
        <v>1080.73</v>
      </c>
      <c r="AB35">
        <v>444.54</v>
      </c>
      <c r="AC35" s="2">
        <f>Z35/AB35</f>
        <v>0.35632339047104872</v>
      </c>
      <c r="AD35" s="2">
        <f>AA35/AB35</f>
        <v>2.4311198092410131</v>
      </c>
    </row>
    <row r="36" spans="19:40" x14ac:dyDescent="0.3">
      <c r="S36" s="2"/>
      <c r="T36" s="2"/>
      <c r="W36" s="2"/>
      <c r="X36" t="s">
        <v>27</v>
      </c>
      <c r="Y36">
        <v>2</v>
      </c>
      <c r="Z36">
        <v>133.63999999999999</v>
      </c>
      <c r="AA36">
        <v>2212.73</v>
      </c>
      <c r="AB36">
        <v>372.87</v>
      </c>
      <c r="AC36" s="2">
        <f>Z36/AB36</f>
        <v>0.35840909700431783</v>
      </c>
      <c r="AD36" s="2">
        <f>AA36/AB36</f>
        <v>5.9343202724810258</v>
      </c>
    </row>
    <row r="37" spans="19:40" x14ac:dyDescent="0.3">
      <c r="S37" s="2"/>
      <c r="T37" s="2"/>
      <c r="X37" t="s">
        <v>28</v>
      </c>
      <c r="Y37">
        <v>3</v>
      </c>
      <c r="Z37" s="1">
        <v>140.91999999999999</v>
      </c>
      <c r="AA37">
        <v>1317.82</v>
      </c>
      <c r="AB37" s="1">
        <v>413.98</v>
      </c>
      <c r="AC37" s="2">
        <f>Z37/AB37</f>
        <v>0.34040291801536304</v>
      </c>
      <c r="AD37" s="2">
        <f>AA37/AB37</f>
        <v>3.183293878931349</v>
      </c>
    </row>
    <row r="38" spans="19:40" x14ac:dyDescent="0.3">
      <c r="S38" s="2"/>
      <c r="T38" s="2"/>
      <c r="Y38">
        <v>4</v>
      </c>
      <c r="Z38" s="1">
        <v>138.31</v>
      </c>
      <c r="AA38" s="1">
        <v>1352.47</v>
      </c>
      <c r="AB38" s="1">
        <v>414.52</v>
      </c>
      <c r="AC38" s="2">
        <f>Z38/AB38</f>
        <v>0.3336630319405578</v>
      </c>
      <c r="AD38" s="2">
        <f>AA38/AB38</f>
        <v>3.262737624240085</v>
      </c>
    </row>
    <row r="39" spans="19:40" x14ac:dyDescent="0.3">
      <c r="S39" s="2"/>
      <c r="T39" s="2"/>
      <c r="Z39" s="1"/>
      <c r="AA39" s="1"/>
      <c r="AB39" s="1"/>
      <c r="AC39" s="3"/>
      <c r="AD39" s="2"/>
    </row>
    <row r="40" spans="19:40" x14ac:dyDescent="0.3">
      <c r="S40" s="2"/>
      <c r="T40" s="2"/>
      <c r="W40" t="s">
        <v>34</v>
      </c>
      <c r="X40" t="s">
        <v>14</v>
      </c>
      <c r="Y40">
        <v>1</v>
      </c>
      <c r="Z40" s="1">
        <v>777.39</v>
      </c>
      <c r="AA40" s="1">
        <v>1136.74</v>
      </c>
      <c r="AB40" s="1">
        <v>359.06</v>
      </c>
      <c r="AC40" s="2">
        <f>Z40/AB40</f>
        <v>2.1650699047512951</v>
      </c>
      <c r="AD40" s="2">
        <f>AA40/AB40</f>
        <v>3.1658775692084888</v>
      </c>
    </row>
    <row r="41" spans="19:40" x14ac:dyDescent="0.3">
      <c r="S41" s="2"/>
      <c r="T41" s="2"/>
      <c r="X41" t="s">
        <v>27</v>
      </c>
      <c r="Y41">
        <v>2</v>
      </c>
      <c r="Z41" s="1">
        <v>607.07000000000005</v>
      </c>
      <c r="AA41" s="1">
        <v>3983.3</v>
      </c>
      <c r="AB41" s="1">
        <v>284.22000000000003</v>
      </c>
      <c r="AC41" s="2">
        <f>Z41/AB41</f>
        <v>2.1359158398423754</v>
      </c>
      <c r="AD41" s="2">
        <f>AA41/AB41</f>
        <v>14.014847653226374</v>
      </c>
    </row>
    <row r="42" spans="19:40" x14ac:dyDescent="0.3">
      <c r="S42" s="2"/>
      <c r="T42" s="2"/>
      <c r="X42" t="s">
        <v>28</v>
      </c>
      <c r="Y42">
        <v>3</v>
      </c>
      <c r="Z42" s="1">
        <v>733.39</v>
      </c>
      <c r="AA42" s="1">
        <v>1429.46</v>
      </c>
      <c r="AB42" s="1">
        <v>360.63</v>
      </c>
      <c r="AC42" s="2">
        <f>Z42/AB42</f>
        <v>2.0336355821756369</v>
      </c>
      <c r="AD42" s="2">
        <f>AA42/AB42</f>
        <v>3.9637855974267255</v>
      </c>
    </row>
    <row r="43" spans="19:40" x14ac:dyDescent="0.3">
      <c r="S43" s="2"/>
      <c r="T43" s="2"/>
      <c r="Y43">
        <v>4</v>
      </c>
      <c r="Z43" s="1">
        <v>734.26</v>
      </c>
      <c r="AA43" s="1">
        <v>1341.12</v>
      </c>
      <c r="AB43" s="1">
        <v>353.14</v>
      </c>
      <c r="AC43" s="2">
        <f>Z43/AB43</f>
        <v>2.0792320326216234</v>
      </c>
      <c r="AD43" s="2">
        <f>AA43/AB43</f>
        <v>3.7977006286458628</v>
      </c>
    </row>
    <row r="44" spans="19:40" x14ac:dyDescent="0.3">
      <c r="S44" s="2"/>
      <c r="T44" s="2"/>
    </row>
    <row r="45" spans="19:40" x14ac:dyDescent="0.3">
      <c r="S45" s="2"/>
      <c r="T45" s="2"/>
      <c r="W45" t="s">
        <v>13</v>
      </c>
      <c r="X45" t="s">
        <v>14</v>
      </c>
      <c r="Y45">
        <v>1</v>
      </c>
      <c r="Z45" s="1">
        <v>206.13</v>
      </c>
      <c r="AA45" s="1">
        <v>780.93</v>
      </c>
      <c r="AB45" s="1">
        <v>632.96</v>
      </c>
      <c r="AC45" s="2">
        <f>Z45/AB45</f>
        <v>0.32566038928210311</v>
      </c>
      <c r="AD45" s="2">
        <f>AA45/AB45</f>
        <v>1.2337746461071788</v>
      </c>
    </row>
    <row r="46" spans="19:40" x14ac:dyDescent="0.3">
      <c r="S46" s="2"/>
      <c r="T46" s="2"/>
      <c r="X46" t="s">
        <v>27</v>
      </c>
      <c r="Y46">
        <v>2</v>
      </c>
      <c r="Z46" s="1">
        <v>147</v>
      </c>
      <c r="AA46" s="1">
        <v>2798.13</v>
      </c>
      <c r="AB46" s="1">
        <v>513.33000000000004</v>
      </c>
      <c r="AC46" s="2">
        <f>Z46/AB46</f>
        <v>0.28636549587984333</v>
      </c>
      <c r="AD46" s="2">
        <f>AA46/AB46</f>
        <v>5.4509379931038513</v>
      </c>
    </row>
    <row r="47" spans="19:40" x14ac:dyDescent="0.3">
      <c r="S47" s="2"/>
      <c r="T47" s="2"/>
      <c r="W47" s="1"/>
      <c r="X47" t="s">
        <v>28</v>
      </c>
      <c r="Y47">
        <v>3</v>
      </c>
      <c r="Z47" s="1">
        <v>168.21</v>
      </c>
      <c r="AA47" s="1">
        <v>1096.73</v>
      </c>
      <c r="AB47" s="1">
        <v>605.54</v>
      </c>
      <c r="AC47" s="2">
        <f>Z47/AB47</f>
        <v>0.27778511741586026</v>
      </c>
      <c r="AD47" s="2">
        <f>AA47/AB47</f>
        <v>1.8111602866862637</v>
      </c>
    </row>
    <row r="48" spans="19:40" x14ac:dyDescent="0.3">
      <c r="S48" s="2"/>
      <c r="T48" s="2"/>
      <c r="W48" s="2"/>
      <c r="Y48">
        <v>4</v>
      </c>
      <c r="Z48" s="1">
        <v>166.2</v>
      </c>
      <c r="AA48" s="1">
        <v>1058.29</v>
      </c>
      <c r="AB48" s="1">
        <v>609.77</v>
      </c>
      <c r="AC48" s="2">
        <f>Z48/AB48</f>
        <v>0.27256178559128852</v>
      </c>
      <c r="AD48" s="2">
        <f>AA48/AB48</f>
        <v>1.7355560293225314</v>
      </c>
    </row>
    <row r="49" spans="19:30" x14ac:dyDescent="0.3">
      <c r="S49" s="2"/>
      <c r="T49" s="2"/>
    </row>
    <row r="50" spans="19:30" x14ac:dyDescent="0.3">
      <c r="S50" s="2"/>
      <c r="T50" s="2"/>
      <c r="V50" t="s">
        <v>23</v>
      </c>
      <c r="W50" t="s">
        <v>30</v>
      </c>
      <c r="X50" t="s">
        <v>14</v>
      </c>
      <c r="Y50">
        <v>1</v>
      </c>
      <c r="Z50" s="1">
        <v>222.12</v>
      </c>
      <c r="AA50" s="1">
        <v>1188.6199999999999</v>
      </c>
      <c r="AB50" s="1">
        <v>392.27</v>
      </c>
      <c r="AC50" s="2">
        <f>Z50/AB50</f>
        <v>0.56624263899864891</v>
      </c>
      <c r="AD50" s="2">
        <f>AA50/AB50</f>
        <v>3.0301068141841077</v>
      </c>
    </row>
    <row r="51" spans="19:30" x14ac:dyDescent="0.3">
      <c r="S51" s="2"/>
      <c r="T51" s="2"/>
      <c r="X51" t="s">
        <v>57</v>
      </c>
      <c r="Y51">
        <v>2</v>
      </c>
      <c r="Z51" s="1">
        <v>195.92</v>
      </c>
      <c r="AA51" s="1">
        <v>1605.38</v>
      </c>
      <c r="AB51" s="1">
        <v>352.5</v>
      </c>
      <c r="AC51" s="2">
        <f>Z51/AB51</f>
        <v>0.55580141843971631</v>
      </c>
      <c r="AD51" s="2">
        <f>AA51/AB51</f>
        <v>4.5542695035460996</v>
      </c>
    </row>
    <row r="52" spans="19:30" x14ac:dyDescent="0.3">
      <c r="S52" s="2"/>
      <c r="T52" s="2"/>
      <c r="X52" t="s">
        <v>28</v>
      </c>
      <c r="Y52">
        <v>3</v>
      </c>
      <c r="Z52" s="1">
        <v>224.37</v>
      </c>
      <c r="AA52" s="1">
        <v>1391.14</v>
      </c>
      <c r="AB52" s="1">
        <v>356.66</v>
      </c>
      <c r="AC52" s="2">
        <f>Z52/AB52</f>
        <v>0.62908652498177531</v>
      </c>
      <c r="AD52" s="2">
        <f>AA52/AB52</f>
        <v>3.9004654292603602</v>
      </c>
    </row>
    <row r="53" spans="19:30" x14ac:dyDescent="0.3">
      <c r="S53" s="2"/>
      <c r="T53" s="2"/>
      <c r="Y53">
        <v>4</v>
      </c>
      <c r="Z53" s="1">
        <v>224.48</v>
      </c>
      <c r="AA53" s="1">
        <v>1332.86</v>
      </c>
      <c r="AB53" s="1">
        <v>364.98</v>
      </c>
      <c r="AC53" s="2">
        <f>Z53/AB53</f>
        <v>0.61504739985752643</v>
      </c>
      <c r="AD53" s="2">
        <f>AA53/AB53</f>
        <v>3.6518713354156387</v>
      </c>
    </row>
    <row r="54" spans="19:30" x14ac:dyDescent="0.3">
      <c r="S54" s="2"/>
      <c r="T54" s="2"/>
      <c r="AC54" s="2"/>
      <c r="AD54" s="2"/>
    </row>
    <row r="55" spans="19:30" x14ac:dyDescent="0.3">
      <c r="S55" s="2"/>
      <c r="T55" s="2"/>
      <c r="V55" t="s">
        <v>23</v>
      </c>
      <c r="W55" t="s">
        <v>32</v>
      </c>
      <c r="X55" t="s">
        <v>14</v>
      </c>
      <c r="Y55">
        <v>1</v>
      </c>
      <c r="Z55" s="1">
        <v>0.81</v>
      </c>
      <c r="AA55" s="1">
        <v>1906.05</v>
      </c>
      <c r="AB55" s="1">
        <v>332.96</v>
      </c>
      <c r="AC55" s="2">
        <f>Z55/AB55</f>
        <v>2.4327246516098033E-3</v>
      </c>
      <c r="AD55" s="2">
        <f>AA55/AB55</f>
        <v>5.7245615088899573</v>
      </c>
    </row>
    <row r="56" spans="19:30" x14ac:dyDescent="0.3">
      <c r="S56" s="2"/>
      <c r="T56" s="2"/>
      <c r="X56" t="s">
        <v>62</v>
      </c>
      <c r="Y56">
        <v>2</v>
      </c>
      <c r="Z56" s="1">
        <v>0.57999999999999996</v>
      </c>
      <c r="AA56" s="1">
        <v>6698.58</v>
      </c>
      <c r="AB56" s="1">
        <v>221.71</v>
      </c>
      <c r="AC56" s="2">
        <f>Z56/AB56</f>
        <v>2.6160299490325199E-3</v>
      </c>
      <c r="AD56" s="2">
        <f>AA56/AB56</f>
        <v>30.213251544810788</v>
      </c>
    </row>
    <row r="57" spans="19:30" x14ac:dyDescent="0.3">
      <c r="S57" s="2"/>
      <c r="T57" s="2"/>
      <c r="X57" t="s">
        <v>28</v>
      </c>
      <c r="Y57">
        <v>3</v>
      </c>
      <c r="Z57" s="1">
        <v>0</v>
      </c>
      <c r="AA57" s="1">
        <v>8.0399999999999991</v>
      </c>
      <c r="AB57" s="1">
        <v>8.7799999999999994</v>
      </c>
      <c r="AC57" s="2">
        <f>Z57/AB57</f>
        <v>0</v>
      </c>
      <c r="AD57" s="2">
        <f>AA57/AB57</f>
        <v>0.91571753986332571</v>
      </c>
    </row>
    <row r="58" spans="19:30" x14ac:dyDescent="0.3">
      <c r="S58" s="2"/>
      <c r="T58" s="2"/>
      <c r="Y58">
        <v>4</v>
      </c>
      <c r="Z58" s="1">
        <v>0</v>
      </c>
      <c r="AA58" s="1">
        <v>8.0399999999999991</v>
      </c>
      <c r="AB58" s="1">
        <v>14.44</v>
      </c>
      <c r="AC58" s="2">
        <f>Z58/AB58</f>
        <v>0</v>
      </c>
      <c r="AD58" s="2">
        <f>AA58/AB58</f>
        <v>0.55678670360110805</v>
      </c>
    </row>
    <row r="59" spans="19:30" x14ac:dyDescent="0.3">
      <c r="S59" s="2"/>
      <c r="T59" s="2"/>
    </row>
    <row r="60" spans="19:30" x14ac:dyDescent="0.3">
      <c r="S60" s="2"/>
      <c r="T60" s="2"/>
      <c r="W60" t="s">
        <v>31</v>
      </c>
      <c r="X60" t="s">
        <v>14</v>
      </c>
      <c r="Y60">
        <v>1</v>
      </c>
      <c r="Z60" s="1">
        <v>8.49</v>
      </c>
      <c r="AA60" s="1">
        <v>1162.17</v>
      </c>
      <c r="AB60" s="1">
        <v>509.67</v>
      </c>
      <c r="AC60" s="2">
        <f>Z60/AB60</f>
        <v>1.6657837424215668E-2</v>
      </c>
      <c r="AD60" s="2">
        <f>AA60/AB60</f>
        <v>2.2802401553946674</v>
      </c>
    </row>
    <row r="61" spans="19:30" x14ac:dyDescent="0.3">
      <c r="S61" s="2"/>
      <c r="T61" s="2"/>
      <c r="X61" t="s">
        <v>40</v>
      </c>
      <c r="Y61">
        <v>2</v>
      </c>
      <c r="Z61" s="1">
        <v>7.58</v>
      </c>
      <c r="AA61" s="1">
        <v>2767.9</v>
      </c>
      <c r="AB61" s="1">
        <v>413.47</v>
      </c>
      <c r="AC61" s="2">
        <f>Z61/AB61</f>
        <v>1.8332648076039373E-2</v>
      </c>
      <c r="AD61" s="2">
        <f>AA61/AB61</f>
        <v>6.6943188139405514</v>
      </c>
    </row>
    <row r="62" spans="19:30" x14ac:dyDescent="0.3">
      <c r="S62" s="2"/>
      <c r="T62" s="2"/>
      <c r="X62" t="s">
        <v>28</v>
      </c>
      <c r="Y62">
        <v>3</v>
      </c>
      <c r="Z62" s="1">
        <v>9.44</v>
      </c>
      <c r="AA62" s="1">
        <v>1372.77</v>
      </c>
      <c r="AB62" s="1">
        <v>467.92</v>
      </c>
      <c r="AC62" s="2">
        <f>Z62/AB62</f>
        <v>2.0174388784407589E-2</v>
      </c>
      <c r="AD62" s="2">
        <f>AA62/AB62</f>
        <v>2.9337707300393228</v>
      </c>
    </row>
    <row r="63" spans="19:30" x14ac:dyDescent="0.3">
      <c r="S63" s="2"/>
      <c r="T63" s="2"/>
      <c r="Y63">
        <v>4</v>
      </c>
      <c r="Z63" s="1">
        <v>11.02</v>
      </c>
      <c r="AA63" s="1">
        <v>1552.81</v>
      </c>
      <c r="AB63" s="1">
        <v>452.9</v>
      </c>
      <c r="AC63" s="2">
        <f>Z63/AB63</f>
        <v>2.433208213733716E-2</v>
      </c>
      <c r="AD63" s="2">
        <f>AA63/AB63</f>
        <v>3.4285935085007728</v>
      </c>
    </row>
    <row r="64" spans="19:30" x14ac:dyDescent="0.3">
      <c r="S64" s="2"/>
      <c r="T64" s="2"/>
      <c r="AC64" s="2"/>
      <c r="AD64" s="2"/>
    </row>
    <row r="65" spans="19:30" x14ac:dyDescent="0.3">
      <c r="S65" s="2"/>
      <c r="T65" s="2"/>
      <c r="W65" t="s">
        <v>38</v>
      </c>
      <c r="X65" t="s">
        <v>14</v>
      </c>
      <c r="Y65">
        <v>1</v>
      </c>
      <c r="Z65">
        <v>4199.8500000000004</v>
      </c>
      <c r="AA65">
        <v>85.97</v>
      </c>
      <c r="AB65">
        <v>25.64</v>
      </c>
      <c r="AC65" s="2">
        <f>Z65/AB65</f>
        <v>163.80070202808113</v>
      </c>
      <c r="AD65" s="2">
        <f>AA65/AB65</f>
        <v>3.3529641185647425</v>
      </c>
    </row>
    <row r="66" spans="19:30" x14ac:dyDescent="0.3">
      <c r="S66" s="2"/>
      <c r="T66" s="2"/>
      <c r="X66" t="s">
        <v>62</v>
      </c>
      <c r="Y66">
        <v>2</v>
      </c>
      <c r="Z66">
        <v>2972.57</v>
      </c>
      <c r="AA66">
        <v>1482.58</v>
      </c>
      <c r="AB66">
        <v>25.48</v>
      </c>
      <c r="AC66" s="2">
        <f>Z66/AB66</f>
        <v>116.66287284144427</v>
      </c>
      <c r="AD66" s="2">
        <f>AA66/AB66</f>
        <v>58.186028257456826</v>
      </c>
    </row>
    <row r="67" spans="19:30" x14ac:dyDescent="0.3">
      <c r="S67" s="2"/>
      <c r="T67" s="2"/>
      <c r="X67" t="s">
        <v>29</v>
      </c>
      <c r="Y67">
        <v>3</v>
      </c>
      <c r="Z67">
        <v>2960.51</v>
      </c>
      <c r="AA67">
        <v>917.17</v>
      </c>
      <c r="AB67">
        <v>40.520000000000003</v>
      </c>
      <c r="AC67" s="2">
        <f>Z67/AB67</f>
        <v>73.062931885488652</v>
      </c>
      <c r="AD67" s="2">
        <f>AA67/AB67</f>
        <v>22.634995064165842</v>
      </c>
    </row>
    <row r="68" spans="19:30" x14ac:dyDescent="0.3">
      <c r="S68" s="2"/>
      <c r="T68" s="2"/>
      <c r="Y68">
        <v>4</v>
      </c>
      <c r="Z68">
        <v>3113.44</v>
      </c>
      <c r="AA68">
        <v>797.2</v>
      </c>
      <c r="AB68">
        <v>43.54</v>
      </c>
      <c r="AC68" s="2">
        <f>Z68/AB68</f>
        <v>71.507579237482773</v>
      </c>
      <c r="AD68" s="2">
        <f>AA68/AB68</f>
        <v>18.309600367478183</v>
      </c>
    </row>
    <row r="69" spans="19:30" x14ac:dyDescent="0.3">
      <c r="S69" s="2"/>
      <c r="T69" s="2"/>
      <c r="AC69" s="2"/>
      <c r="AD69" s="2"/>
    </row>
    <row r="70" spans="19:30" x14ac:dyDescent="0.3">
      <c r="S70" s="2"/>
      <c r="T70" s="2"/>
      <c r="W70" t="s">
        <v>39</v>
      </c>
      <c r="X70" t="s">
        <v>14</v>
      </c>
      <c r="Y70">
        <v>1</v>
      </c>
      <c r="Z70">
        <v>254.08</v>
      </c>
      <c r="AA70">
        <v>1715.41</v>
      </c>
      <c r="AB70">
        <v>277.54000000000002</v>
      </c>
      <c r="AC70" s="2">
        <f>Z70/AB70</f>
        <v>0.91547164372703027</v>
      </c>
      <c r="AD70" s="2">
        <f>AA70/AB70</f>
        <v>6.1807667363262953</v>
      </c>
    </row>
    <row r="71" spans="19:30" x14ac:dyDescent="0.3">
      <c r="S71" s="2"/>
      <c r="T71" s="2"/>
      <c r="X71" t="s">
        <v>62</v>
      </c>
      <c r="Y71">
        <v>2</v>
      </c>
      <c r="Z71">
        <v>213.04</v>
      </c>
      <c r="AA71">
        <v>3215.21</v>
      </c>
      <c r="AB71">
        <v>225.65</v>
      </c>
      <c r="AC71" s="2">
        <f>Z71/AB71</f>
        <v>0.94411699534677596</v>
      </c>
      <c r="AD71" s="2">
        <f>AA71/AB71</f>
        <v>14.248659428318192</v>
      </c>
    </row>
    <row r="72" spans="19:30" x14ac:dyDescent="0.3">
      <c r="S72" s="2"/>
      <c r="T72" s="2"/>
      <c r="X72" t="s">
        <v>28</v>
      </c>
      <c r="Y72">
        <v>3</v>
      </c>
      <c r="Z72">
        <v>198.07</v>
      </c>
      <c r="AA72">
        <v>2416.1799999999998</v>
      </c>
      <c r="AB72">
        <v>242.61</v>
      </c>
      <c r="AC72" s="2">
        <f>Z72/AB72</f>
        <v>0.81641317340587771</v>
      </c>
      <c r="AD72" s="2">
        <f>AA72/AB72</f>
        <v>9.9591113309426635</v>
      </c>
    </row>
    <row r="73" spans="19:30" x14ac:dyDescent="0.3">
      <c r="S73" s="2"/>
      <c r="T73" s="2"/>
      <c r="Y73">
        <v>4</v>
      </c>
      <c r="Z73">
        <v>180.22</v>
      </c>
      <c r="AA73">
        <v>2288.39</v>
      </c>
      <c r="AB73">
        <v>247.84</v>
      </c>
      <c r="AC73" s="2">
        <f>Z73/AB73</f>
        <v>0.72716268560361519</v>
      </c>
      <c r="AD73" s="2">
        <f>AA73/AB73</f>
        <v>9.2333360232407991</v>
      </c>
    </row>
    <row r="74" spans="19:30" x14ac:dyDescent="0.3">
      <c r="S74" s="2"/>
      <c r="T74" s="2"/>
      <c r="AC74" s="2"/>
      <c r="AD74" s="2"/>
    </row>
    <row r="75" spans="19:30" x14ac:dyDescent="0.3">
      <c r="S75" s="2"/>
      <c r="T75" s="2"/>
      <c r="W75" t="s">
        <v>41</v>
      </c>
      <c r="X75" t="s">
        <v>14</v>
      </c>
      <c r="Y75">
        <v>1</v>
      </c>
      <c r="Z75">
        <v>6279.93</v>
      </c>
      <c r="AA75">
        <v>40.549999999999997</v>
      </c>
      <c r="AB75">
        <v>26.11</v>
      </c>
      <c r="AC75" s="2">
        <f>Z75/AB75</f>
        <v>240.51819226350059</v>
      </c>
      <c r="AD75" s="2">
        <f>AA75/AB75</f>
        <v>1.5530448104174646</v>
      </c>
    </row>
    <row r="76" spans="19:30" x14ac:dyDescent="0.3">
      <c r="S76" s="2"/>
      <c r="T76" s="2"/>
      <c r="X76" t="s">
        <v>27</v>
      </c>
      <c r="Y76">
        <v>2</v>
      </c>
      <c r="Z76">
        <v>4236.29</v>
      </c>
      <c r="AA76">
        <v>1206.54</v>
      </c>
      <c r="AB76">
        <v>24.5</v>
      </c>
      <c r="AC76" s="2">
        <f>Z76/AB76</f>
        <v>172.90979591836734</v>
      </c>
      <c r="AD76" s="2">
        <f>AA76/AB76</f>
        <v>49.246530612244896</v>
      </c>
    </row>
    <row r="77" spans="19:30" x14ac:dyDescent="0.3">
      <c r="S77" s="2"/>
      <c r="T77" s="2"/>
      <c r="X77" t="s">
        <v>29</v>
      </c>
      <c r="Y77">
        <v>3</v>
      </c>
      <c r="Z77">
        <v>4897.05</v>
      </c>
      <c r="AA77">
        <v>371.38</v>
      </c>
      <c r="AB77">
        <v>18.489999999999998</v>
      </c>
      <c r="AC77" s="2">
        <f>Z77/AB77</f>
        <v>264.84856679286105</v>
      </c>
      <c r="AD77" s="2">
        <f>AA77/AB77</f>
        <v>20.085451595457005</v>
      </c>
    </row>
    <row r="78" spans="19:30" x14ac:dyDescent="0.3">
      <c r="S78" s="2"/>
      <c r="T78" s="2"/>
      <c r="Y78">
        <v>4</v>
      </c>
      <c r="Z78">
        <v>5053.0600000000004</v>
      </c>
      <c r="AA78">
        <v>259.67</v>
      </c>
      <c r="AB78">
        <v>48.92</v>
      </c>
      <c r="AC78" s="2">
        <f>Z78/AB78</f>
        <v>103.29231398201145</v>
      </c>
      <c r="AD78" s="2">
        <f>AA78/AB78</f>
        <v>5.3080539656582175</v>
      </c>
    </row>
    <row r="79" spans="19:30" x14ac:dyDescent="0.3">
      <c r="S79" s="2"/>
      <c r="T79" s="2"/>
      <c r="AC79" s="2"/>
      <c r="AD79" s="2"/>
    </row>
    <row r="80" spans="19:30" x14ac:dyDescent="0.3">
      <c r="S80" s="2"/>
      <c r="T80" s="2"/>
      <c r="W80" t="s">
        <v>42</v>
      </c>
      <c r="X80" t="s">
        <v>14</v>
      </c>
      <c r="Y80">
        <v>1</v>
      </c>
      <c r="Z80">
        <v>5614.59</v>
      </c>
      <c r="AA80">
        <v>312.92</v>
      </c>
      <c r="AB80">
        <v>192.64</v>
      </c>
      <c r="AC80" s="2">
        <f>Z80/AB80</f>
        <v>29.145504568106315</v>
      </c>
      <c r="AD80" s="2">
        <f>AA80/AB80</f>
        <v>1.6243770764119603</v>
      </c>
    </row>
    <row r="81" spans="19:30" x14ac:dyDescent="0.3">
      <c r="S81" s="2"/>
      <c r="T81" s="2"/>
      <c r="X81" t="s">
        <v>27</v>
      </c>
      <c r="Y81">
        <v>2</v>
      </c>
      <c r="Z81">
        <v>3882.15</v>
      </c>
      <c r="AA81">
        <v>3493.03</v>
      </c>
      <c r="AB81">
        <v>91.58</v>
      </c>
      <c r="AC81" s="2">
        <f>Z81/AB81</f>
        <v>42.390805852806288</v>
      </c>
      <c r="AD81" s="2">
        <f>AA81/AB81</f>
        <v>38.141843197204629</v>
      </c>
    </row>
    <row r="82" spans="19:30" x14ac:dyDescent="0.3">
      <c r="S82" s="2"/>
      <c r="T82" s="2"/>
      <c r="X82" t="s">
        <v>43</v>
      </c>
      <c r="Y82">
        <v>3</v>
      </c>
      <c r="Z82">
        <v>4491.7</v>
      </c>
      <c r="AA82">
        <v>777.43</v>
      </c>
      <c r="AB82">
        <v>205.31</v>
      </c>
      <c r="AC82" s="2">
        <f>Z82/AB82</f>
        <v>21.877648434075301</v>
      </c>
      <c r="AD82" s="2">
        <f>AA82/AB82</f>
        <v>3.7866153621353074</v>
      </c>
    </row>
    <row r="83" spans="19:30" x14ac:dyDescent="0.3">
      <c r="S83" s="2"/>
      <c r="T83" s="2"/>
      <c r="Y83">
        <v>4</v>
      </c>
      <c r="Z83">
        <v>4417.18</v>
      </c>
      <c r="AA83">
        <v>806.36</v>
      </c>
      <c r="AB83">
        <v>221.33</v>
      </c>
      <c r="AC83" s="2">
        <f>Z83/AB83</f>
        <v>19.957439118059007</v>
      </c>
      <c r="AD83" s="2">
        <f>AA83/AB83</f>
        <v>3.6432476392716757</v>
      </c>
    </row>
    <row r="84" spans="19:30" x14ac:dyDescent="0.3">
      <c r="S84" s="2"/>
      <c r="T84" s="2"/>
      <c r="AC84" s="2"/>
      <c r="AD84" s="2"/>
    </row>
    <row r="85" spans="19:30" x14ac:dyDescent="0.3">
      <c r="S85" s="2"/>
      <c r="T85" s="2"/>
      <c r="W85" t="s">
        <v>46</v>
      </c>
      <c r="X85" t="s">
        <v>14</v>
      </c>
      <c r="Y85">
        <v>1</v>
      </c>
      <c r="Z85">
        <v>273.89999999999998</v>
      </c>
      <c r="AA85">
        <v>1101.5</v>
      </c>
      <c r="AB85">
        <v>389.74</v>
      </c>
      <c r="AC85" s="2">
        <f>Z85/AB85</f>
        <v>0.70277620978087951</v>
      </c>
      <c r="AD85" s="2">
        <f>AA85/AB85</f>
        <v>2.826243136449941</v>
      </c>
    </row>
    <row r="86" spans="19:30" x14ac:dyDescent="0.3">
      <c r="S86" s="2"/>
      <c r="T86" s="2"/>
      <c r="X86" t="s">
        <v>27</v>
      </c>
      <c r="Y86">
        <v>2</v>
      </c>
      <c r="Z86">
        <v>222.79</v>
      </c>
      <c r="AA86">
        <v>2100.09</v>
      </c>
      <c r="AB86">
        <v>334.12</v>
      </c>
      <c r="AC86" s="2">
        <f>Z86/AB86</f>
        <v>0.66679636058900993</v>
      </c>
      <c r="AD86" s="2">
        <f>AA86/AB86</f>
        <v>6.2854363701664075</v>
      </c>
    </row>
    <row r="87" spans="19:30" x14ac:dyDescent="0.3">
      <c r="S87" s="2"/>
      <c r="T87" s="2"/>
      <c r="X87" t="s">
        <v>28</v>
      </c>
      <c r="Y87">
        <v>3</v>
      </c>
      <c r="Z87">
        <v>229.58</v>
      </c>
      <c r="AA87">
        <v>1260.79</v>
      </c>
      <c r="AB87">
        <v>373.91</v>
      </c>
      <c r="AC87" s="2">
        <f>Z87/AB87</f>
        <v>0.6139980209141237</v>
      </c>
      <c r="AD87" s="2">
        <f>AA87/AB87</f>
        <v>3.3719076783183115</v>
      </c>
    </row>
    <row r="88" spans="19:30" x14ac:dyDescent="0.3">
      <c r="S88" s="2"/>
      <c r="T88" s="2"/>
      <c r="Y88">
        <v>4</v>
      </c>
      <c r="Z88">
        <v>235.02</v>
      </c>
      <c r="AA88">
        <v>1260.31</v>
      </c>
      <c r="AB88">
        <v>375.57</v>
      </c>
      <c r="AC88" s="2">
        <f>Z88/AB88</f>
        <v>0.62576883137630801</v>
      </c>
      <c r="AD88" s="2">
        <f>AA88/AB88</f>
        <v>3.3557259632025986</v>
      </c>
    </row>
    <row r="89" spans="19:30" x14ac:dyDescent="0.3">
      <c r="S89" s="2"/>
      <c r="T89" s="2"/>
      <c r="AC89" s="2"/>
      <c r="AD89" s="2"/>
    </row>
    <row r="90" spans="19:30" x14ac:dyDescent="0.3">
      <c r="S90" s="2"/>
      <c r="T90" s="2"/>
      <c r="W90" t="s">
        <v>47</v>
      </c>
      <c r="X90" t="s">
        <v>14</v>
      </c>
      <c r="Y90">
        <v>1</v>
      </c>
      <c r="Z90">
        <v>4358.4799999999996</v>
      </c>
      <c r="AA90">
        <v>319.99</v>
      </c>
      <c r="AB90">
        <v>24.89</v>
      </c>
      <c r="AC90" s="2">
        <f>Z90/AB90</f>
        <v>175.10968260345518</v>
      </c>
      <c r="AD90" s="2">
        <f>AA90/AB90</f>
        <v>12.856167135395742</v>
      </c>
    </row>
    <row r="91" spans="19:30" x14ac:dyDescent="0.3">
      <c r="S91" s="2"/>
      <c r="T91" s="2"/>
      <c r="X91" t="s">
        <v>62</v>
      </c>
      <c r="Y91">
        <v>2</v>
      </c>
      <c r="Z91">
        <v>2058.46</v>
      </c>
      <c r="AA91">
        <v>7309.76</v>
      </c>
      <c r="AB91">
        <v>21.71</v>
      </c>
      <c r="AC91" s="2">
        <f>Z91/AB91</f>
        <v>94.816213726393372</v>
      </c>
      <c r="AD91" s="2">
        <f>AA91/AB91</f>
        <v>336.7001381851681</v>
      </c>
    </row>
    <row r="92" spans="19:30" x14ac:dyDescent="0.3">
      <c r="S92" s="2"/>
      <c r="T92" s="2"/>
      <c r="X92" t="s">
        <v>29</v>
      </c>
      <c r="Y92">
        <v>3</v>
      </c>
      <c r="Z92">
        <v>3270.88</v>
      </c>
      <c r="AA92">
        <v>987.13</v>
      </c>
      <c r="AB92">
        <v>41.41</v>
      </c>
      <c r="AC92" s="2">
        <f>Z92/AB92</f>
        <v>78.987684134267099</v>
      </c>
      <c r="AD92" s="2">
        <f>AA92/AB92</f>
        <v>23.837961844964987</v>
      </c>
    </row>
    <row r="93" spans="19:30" x14ac:dyDescent="0.3">
      <c r="S93" s="2"/>
      <c r="T93" s="2"/>
      <c r="Y93">
        <v>4</v>
      </c>
      <c r="Z93">
        <v>3362.1</v>
      </c>
      <c r="AA93">
        <v>671.26</v>
      </c>
      <c r="AB93">
        <v>51.32</v>
      </c>
      <c r="AC93" s="2">
        <f>Z93/AB93</f>
        <v>65.512470771628998</v>
      </c>
      <c r="AD93" s="2">
        <f>AA93/AB93</f>
        <v>13.079890880748247</v>
      </c>
    </row>
    <row r="94" spans="19:30" x14ac:dyDescent="0.3">
      <c r="S94" s="2"/>
      <c r="T94" s="2"/>
    </row>
    <row r="95" spans="19:30" x14ac:dyDescent="0.3">
      <c r="S95" s="2"/>
      <c r="T95" s="2"/>
      <c r="W95" t="s">
        <v>51</v>
      </c>
      <c r="X95" t="s">
        <v>14</v>
      </c>
      <c r="Y95">
        <v>1</v>
      </c>
      <c r="Z95">
        <v>118.85</v>
      </c>
      <c r="AA95">
        <v>1955.87</v>
      </c>
      <c r="AB95">
        <v>294.31</v>
      </c>
      <c r="AC95" s="2">
        <f>Z95/AB95</f>
        <v>0.40382589786279771</v>
      </c>
      <c r="AD95" s="2">
        <f>AA95/AB95</f>
        <v>6.6456117699024837</v>
      </c>
    </row>
    <row r="96" spans="19:30" x14ac:dyDescent="0.3">
      <c r="S96" s="2"/>
      <c r="T96" s="2"/>
      <c r="X96" t="s">
        <v>57</v>
      </c>
      <c r="Y96">
        <v>2</v>
      </c>
      <c r="Z96">
        <v>86.2</v>
      </c>
      <c r="AA96">
        <v>3096.9</v>
      </c>
      <c r="AB96">
        <v>241.74</v>
      </c>
      <c r="AC96" s="2">
        <f>Z96/AB96</f>
        <v>0.35658145114585921</v>
      </c>
      <c r="AD96" s="2">
        <f>AA96/AB96</f>
        <v>12.810871183916605</v>
      </c>
    </row>
    <row r="97" spans="19:30" x14ac:dyDescent="0.3">
      <c r="S97" s="2"/>
      <c r="T97" s="2"/>
      <c r="X97" t="s">
        <v>28</v>
      </c>
      <c r="Y97">
        <v>3</v>
      </c>
      <c r="Z97">
        <v>33.729999999999997</v>
      </c>
      <c r="AA97">
        <v>3463.48</v>
      </c>
      <c r="AB97">
        <v>174.23</v>
      </c>
      <c r="AC97" s="2">
        <f>Z97/AB97</f>
        <v>0.19359467370716868</v>
      </c>
      <c r="AD97" s="2">
        <f>AA97/AB97</f>
        <v>19.878780921770076</v>
      </c>
    </row>
    <row r="98" spans="19:30" x14ac:dyDescent="0.3">
      <c r="S98" s="2"/>
      <c r="T98" s="2"/>
      <c r="X98" t="s">
        <v>52</v>
      </c>
      <c r="Y98">
        <v>4</v>
      </c>
      <c r="Z98">
        <v>34.4</v>
      </c>
      <c r="AA98">
        <v>3363.43</v>
      </c>
      <c r="AB98">
        <v>181.25</v>
      </c>
      <c r="AC98" s="2">
        <f>Z98/AB98</f>
        <v>0.18979310344827585</v>
      </c>
      <c r="AD98" s="2">
        <f>AA98/AB98</f>
        <v>18.55685517241379</v>
      </c>
    </row>
    <row r="99" spans="19:30" x14ac:dyDescent="0.3">
      <c r="S99" s="2"/>
      <c r="T99" s="2"/>
      <c r="AC99" s="2"/>
      <c r="AD99" s="2"/>
    </row>
    <row r="100" spans="19:30" x14ac:dyDescent="0.3">
      <c r="S100" s="2"/>
      <c r="T100" s="2"/>
      <c r="W100" t="s">
        <v>53</v>
      </c>
      <c r="X100" t="s">
        <v>14</v>
      </c>
      <c r="Y100">
        <v>1</v>
      </c>
      <c r="Z100">
        <v>3143.91</v>
      </c>
      <c r="AA100">
        <v>97.38</v>
      </c>
      <c r="AB100">
        <v>34.86</v>
      </c>
      <c r="AC100" s="2">
        <f>Z100/AB100</f>
        <v>90.186746987951807</v>
      </c>
      <c r="AD100" s="2">
        <f>AA100/AB100</f>
        <v>2.7934595524956971</v>
      </c>
    </row>
    <row r="101" spans="19:30" x14ac:dyDescent="0.3">
      <c r="S101" s="2"/>
      <c r="T101" s="2"/>
      <c r="X101" t="s">
        <v>57</v>
      </c>
      <c r="Y101">
        <v>2</v>
      </c>
      <c r="Z101">
        <v>2438.52</v>
      </c>
      <c r="AA101">
        <v>838.25</v>
      </c>
      <c r="AB101">
        <v>38.21</v>
      </c>
      <c r="AC101" s="2">
        <f>Z101/AB101</f>
        <v>63.818895577074059</v>
      </c>
      <c r="AD101" s="2">
        <f>AA101/AB101</f>
        <v>21.937974352263804</v>
      </c>
    </row>
    <row r="102" spans="19:30" x14ac:dyDescent="0.3">
      <c r="S102" s="2"/>
      <c r="T102" s="2"/>
      <c r="X102" t="s">
        <v>29</v>
      </c>
      <c r="Y102">
        <v>3</v>
      </c>
      <c r="Z102">
        <v>2248.5700000000002</v>
      </c>
      <c r="AA102">
        <v>190.38</v>
      </c>
      <c r="AB102">
        <v>28</v>
      </c>
      <c r="AC102" s="2">
        <f>Z102/AB102</f>
        <v>80.306071428571428</v>
      </c>
      <c r="AD102" s="2">
        <f>AA102/AB102</f>
        <v>6.7992857142857144</v>
      </c>
    </row>
    <row r="103" spans="19:30" x14ac:dyDescent="0.3">
      <c r="S103" s="2"/>
      <c r="T103" s="2"/>
      <c r="Y103">
        <v>4</v>
      </c>
      <c r="Z103">
        <v>1074.74</v>
      </c>
      <c r="AA103">
        <v>2544.06</v>
      </c>
      <c r="AB103">
        <v>97.76</v>
      </c>
      <c r="AC103" s="2">
        <f>Z103/AB103</f>
        <v>10.993657937806873</v>
      </c>
      <c r="AD103" s="2">
        <f>AA103/AB103</f>
        <v>26.023527004909983</v>
      </c>
    </row>
    <row r="104" spans="19:30" x14ac:dyDescent="0.3">
      <c r="S104" s="2"/>
      <c r="T104" s="2"/>
      <c r="AC104" s="2"/>
      <c r="AD104" s="2"/>
    </row>
    <row r="105" spans="19:30" x14ac:dyDescent="0.3">
      <c r="S105" s="2"/>
      <c r="T105" s="2"/>
      <c r="W105" t="s">
        <v>54</v>
      </c>
      <c r="X105" t="s">
        <v>14</v>
      </c>
      <c r="Y105">
        <v>1</v>
      </c>
      <c r="Z105">
        <v>56.4</v>
      </c>
      <c r="AA105">
        <v>1140.76</v>
      </c>
      <c r="AB105">
        <v>479.94</v>
      </c>
      <c r="AC105" s="2">
        <f>Z105/AB105</f>
        <v>0.11751468933616702</v>
      </c>
      <c r="AD105" s="2">
        <f>AA105/AB105</f>
        <v>2.3768804433887567</v>
      </c>
    </row>
    <row r="106" spans="19:30" x14ac:dyDescent="0.3">
      <c r="S106" s="2"/>
      <c r="T106" s="2"/>
      <c r="X106" t="s">
        <v>27</v>
      </c>
      <c r="Y106">
        <v>2</v>
      </c>
      <c r="Z106">
        <v>42.18</v>
      </c>
      <c r="AA106">
        <v>2154.5300000000002</v>
      </c>
      <c r="AB106">
        <v>405.26</v>
      </c>
      <c r="AC106" s="2">
        <f>Z106/AB106</f>
        <v>0.10408133050387405</v>
      </c>
      <c r="AD106" s="2">
        <f>AA106/AB106</f>
        <v>5.3164141538765239</v>
      </c>
    </row>
    <row r="107" spans="19:30" x14ac:dyDescent="0.3">
      <c r="S107" s="2"/>
      <c r="T107" s="2"/>
      <c r="X107" t="s">
        <v>28</v>
      </c>
      <c r="Y107">
        <v>3</v>
      </c>
      <c r="Z107">
        <v>43.59</v>
      </c>
      <c r="AA107">
        <v>1379.41</v>
      </c>
      <c r="AB107">
        <v>442.46</v>
      </c>
      <c r="AC107" s="2">
        <f>Z107/AB107</f>
        <v>9.8517380102156146E-2</v>
      </c>
      <c r="AD107" s="2">
        <f>AA107/AB107</f>
        <v>3.1175925507390501</v>
      </c>
    </row>
    <row r="108" spans="19:30" x14ac:dyDescent="0.3">
      <c r="S108" s="2"/>
      <c r="T108" s="2"/>
      <c r="Y108">
        <v>4</v>
      </c>
      <c r="Z108">
        <v>44.24</v>
      </c>
      <c r="AA108">
        <v>1312.95</v>
      </c>
      <c r="AB108">
        <v>445.57</v>
      </c>
      <c r="AC108" s="2">
        <f>Z108/AB108</f>
        <v>9.9288551742711589E-2</v>
      </c>
      <c r="AD108" s="2">
        <f>AA108/AB108</f>
        <v>2.9466750454474044</v>
      </c>
    </row>
    <row r="109" spans="19:30" x14ac:dyDescent="0.3">
      <c r="S109" s="2"/>
      <c r="T109" s="2"/>
      <c r="AC109" s="2"/>
      <c r="AD109" s="2"/>
    </row>
    <row r="110" spans="19:30" x14ac:dyDescent="0.3">
      <c r="S110" s="2"/>
      <c r="T110" s="2"/>
      <c r="W110" t="s">
        <v>55</v>
      </c>
      <c r="X110" t="s">
        <v>14</v>
      </c>
      <c r="Y110">
        <v>1</v>
      </c>
      <c r="Z110">
        <v>202.93</v>
      </c>
      <c r="AA110">
        <v>1350.52</v>
      </c>
      <c r="AB110">
        <v>390.63</v>
      </c>
      <c r="AC110" s="2">
        <f>Z110/AB110</f>
        <v>0.51949415047487391</v>
      </c>
      <c r="AD110" s="2">
        <f>AA110/AB110</f>
        <v>3.4572869467270819</v>
      </c>
    </row>
    <row r="111" spans="19:30" x14ac:dyDescent="0.3">
      <c r="S111" s="2"/>
      <c r="T111" s="2"/>
      <c r="X111" t="s">
        <v>57</v>
      </c>
      <c r="Y111">
        <v>2</v>
      </c>
      <c r="Z111">
        <v>197.84</v>
      </c>
      <c r="AA111">
        <v>1922.76</v>
      </c>
      <c r="AB111">
        <v>343.17</v>
      </c>
      <c r="AC111" s="2">
        <f>Z111/AB111</f>
        <v>0.57650727044904859</v>
      </c>
      <c r="AD111" s="2">
        <f>AA111/AB111</f>
        <v>5.6029373196957772</v>
      </c>
    </row>
    <row r="112" spans="19:30" x14ac:dyDescent="0.3">
      <c r="S112" s="2"/>
      <c r="T112" s="2"/>
      <c r="X112" t="s">
        <v>28</v>
      </c>
      <c r="Y112">
        <v>3</v>
      </c>
      <c r="Z112">
        <v>185.94</v>
      </c>
      <c r="AA112">
        <v>1601.0060000000001</v>
      </c>
      <c r="AB112">
        <v>353.9</v>
      </c>
      <c r="AC112" s="2">
        <f>Z112/AB112</f>
        <v>0.52540265611754733</v>
      </c>
      <c r="AD112" s="2">
        <f>AA112/AB112</f>
        <v>4.5238937552981078</v>
      </c>
    </row>
    <row r="113" spans="19:30" x14ac:dyDescent="0.3">
      <c r="S113" s="2"/>
      <c r="T113" s="2"/>
      <c r="Y113">
        <v>4</v>
      </c>
      <c r="Z113">
        <v>163.47999999999999</v>
      </c>
      <c r="AA113">
        <v>1601.39</v>
      </c>
      <c r="AB113">
        <v>358.7</v>
      </c>
      <c r="AC113" s="2">
        <f>Z113/AB113</f>
        <v>0.45575689991636464</v>
      </c>
      <c r="AD113" s="2">
        <f>AA113/AB113</f>
        <v>4.4644270978533598</v>
      </c>
    </row>
    <row r="114" spans="19:30" x14ac:dyDescent="0.3">
      <c r="S114" s="2"/>
      <c r="T114" s="2"/>
      <c r="AC114" s="2"/>
      <c r="AD114" s="2"/>
    </row>
    <row r="115" spans="19:30" x14ac:dyDescent="0.3">
      <c r="S115" s="2"/>
      <c r="T115" s="2"/>
      <c r="W115" t="s">
        <v>56</v>
      </c>
      <c r="X115" t="s">
        <v>14</v>
      </c>
      <c r="Y115">
        <v>1</v>
      </c>
      <c r="Z115">
        <v>46.3</v>
      </c>
      <c r="AA115">
        <v>1233.06</v>
      </c>
      <c r="AB115">
        <v>450.47</v>
      </c>
      <c r="AC115" s="2">
        <f>Z115/AB115</f>
        <v>0.10278153928119518</v>
      </c>
      <c r="AD115" s="2">
        <f>AA115/AB115</f>
        <v>2.7372744022909403</v>
      </c>
    </row>
    <row r="116" spans="19:30" x14ac:dyDescent="0.3">
      <c r="S116" s="2"/>
      <c r="T116" s="2"/>
      <c r="X116" t="s">
        <v>57</v>
      </c>
      <c r="Y116">
        <v>2</v>
      </c>
      <c r="Z116">
        <v>38.44</v>
      </c>
      <c r="AA116">
        <v>1708.83</v>
      </c>
      <c r="AB116">
        <v>402.51</v>
      </c>
      <c r="AC116" s="2">
        <f>Z116/AB116</f>
        <v>9.5500732901045937E-2</v>
      </c>
      <c r="AD116" s="2">
        <f>AA116/AB116</f>
        <v>4.2454348960274277</v>
      </c>
    </row>
    <row r="117" spans="19:30" x14ac:dyDescent="0.3">
      <c r="S117" s="2"/>
      <c r="T117" s="2"/>
      <c r="X117" t="s">
        <v>28</v>
      </c>
      <c r="Y117">
        <v>3</v>
      </c>
      <c r="Z117">
        <v>35.43</v>
      </c>
      <c r="AA117">
        <v>1446.5</v>
      </c>
      <c r="AB117">
        <v>414.06</v>
      </c>
      <c r="AC117" s="2">
        <f>Z117/AB117</f>
        <v>8.5567309085639767E-2</v>
      </c>
      <c r="AD117" s="2">
        <f>AA117/AB117</f>
        <v>3.4934550548229724</v>
      </c>
    </row>
    <row r="118" spans="19:30" x14ac:dyDescent="0.3">
      <c r="S118" s="2"/>
      <c r="T118" s="2"/>
      <c r="Y118">
        <v>4</v>
      </c>
      <c r="Z118">
        <v>35.35</v>
      </c>
      <c r="AA118">
        <v>1424.62</v>
      </c>
      <c r="AB118">
        <v>418.97</v>
      </c>
      <c r="AC118" s="2">
        <f>Z118/AB118</f>
        <v>8.437358283409313E-2</v>
      </c>
      <c r="AD118" s="2">
        <f>AA118/AB118</f>
        <v>3.4002911903000208</v>
      </c>
    </row>
    <row r="119" spans="19:30" x14ac:dyDescent="0.3">
      <c r="S119" s="2"/>
      <c r="T119" s="2"/>
      <c r="AC119" s="2"/>
      <c r="AD119" s="2"/>
    </row>
    <row r="120" spans="19:30" x14ac:dyDescent="0.3">
      <c r="S120" s="2"/>
      <c r="T120" s="2"/>
      <c r="W120" t="s">
        <v>58</v>
      </c>
      <c r="X120" t="s">
        <v>14</v>
      </c>
      <c r="Y120">
        <v>1</v>
      </c>
      <c r="Z120">
        <v>14.64</v>
      </c>
      <c r="AA120">
        <v>798.52</v>
      </c>
      <c r="AB120">
        <v>778.04</v>
      </c>
      <c r="AC120" s="2">
        <f>Z120/AB120</f>
        <v>1.8816513289805152E-2</v>
      </c>
      <c r="AD120" s="2">
        <f>AA120/AB120</f>
        <v>1.0263225541103285</v>
      </c>
    </row>
    <row r="121" spans="19:30" x14ac:dyDescent="0.3">
      <c r="S121" s="2"/>
      <c r="T121" s="2"/>
      <c r="X121" t="s">
        <v>27</v>
      </c>
      <c r="Y121">
        <v>2</v>
      </c>
      <c r="Z121">
        <v>5.19</v>
      </c>
      <c r="AA121">
        <v>1207.6199999999999</v>
      </c>
      <c r="AB121">
        <v>713.65</v>
      </c>
      <c r="AC121" s="2">
        <f>Z121/AB121</f>
        <v>7.2724725005254686E-3</v>
      </c>
      <c r="AD121" s="2">
        <f>AA121/AB121</f>
        <v>1.692174034891053</v>
      </c>
    </row>
    <row r="122" spans="19:30" x14ac:dyDescent="0.3">
      <c r="S122" s="2"/>
      <c r="T122" s="2"/>
      <c r="X122" t="s">
        <v>43</v>
      </c>
      <c r="Y122">
        <v>3</v>
      </c>
      <c r="Z122">
        <v>0</v>
      </c>
      <c r="AA122">
        <v>893.69</v>
      </c>
      <c r="AB122">
        <v>769.13</v>
      </c>
      <c r="AC122" s="2">
        <f>Z122/AB122</f>
        <v>0</v>
      </c>
      <c r="AD122" s="2">
        <f>AA122/AB122</f>
        <v>1.1619492153472106</v>
      </c>
    </row>
    <row r="123" spans="19:30" x14ac:dyDescent="0.3">
      <c r="S123" s="2"/>
      <c r="T123" s="2"/>
      <c r="Y123">
        <v>4</v>
      </c>
      <c r="Z123">
        <v>0</v>
      </c>
      <c r="AA123">
        <v>918.86</v>
      </c>
      <c r="AB123">
        <v>762.94</v>
      </c>
      <c r="AC123" s="2">
        <f>Z123/AB123</f>
        <v>0</v>
      </c>
      <c r="AD123" s="2">
        <f>AA123/AB123</f>
        <v>1.2043673159095079</v>
      </c>
    </row>
    <row r="124" spans="19:30" x14ac:dyDescent="0.3">
      <c r="S124" s="2"/>
      <c r="T124" s="2"/>
      <c r="AC124" s="2"/>
      <c r="AD124" s="2"/>
    </row>
    <row r="125" spans="19:30" x14ac:dyDescent="0.3">
      <c r="S125" s="2"/>
      <c r="T125" s="2"/>
      <c r="W125" t="s">
        <v>59</v>
      </c>
      <c r="X125" t="s">
        <v>14</v>
      </c>
      <c r="Y125">
        <v>1</v>
      </c>
      <c r="Z125">
        <v>2020.48</v>
      </c>
      <c r="AA125">
        <v>826.62</v>
      </c>
      <c r="AB125">
        <v>271.7</v>
      </c>
      <c r="AC125" s="2">
        <f>Z125/AB125</f>
        <v>7.4364372469635631</v>
      </c>
      <c r="AD125" s="2">
        <f>AA125/AB125</f>
        <v>3.0423997055576004</v>
      </c>
    </row>
    <row r="126" spans="19:30" x14ac:dyDescent="0.3">
      <c r="S126" s="2"/>
      <c r="T126" s="2"/>
      <c r="X126" t="s">
        <v>60</v>
      </c>
      <c r="Y126">
        <v>2</v>
      </c>
      <c r="Z126">
        <v>1007.48</v>
      </c>
      <c r="AA126">
        <v>4044.96</v>
      </c>
      <c r="AB126">
        <v>229.49</v>
      </c>
      <c r="AC126" s="2">
        <f>Z126/AB126</f>
        <v>4.390082356529696</v>
      </c>
      <c r="AD126" s="2">
        <f>AA126/AB126</f>
        <v>17.625866050808312</v>
      </c>
    </row>
    <row r="127" spans="19:30" x14ac:dyDescent="0.3">
      <c r="S127" s="2"/>
      <c r="T127" s="2"/>
      <c r="X127" t="s">
        <v>28</v>
      </c>
      <c r="Y127">
        <v>3</v>
      </c>
      <c r="Z127">
        <v>1705.97</v>
      </c>
      <c r="AA127">
        <v>1117.5</v>
      </c>
      <c r="AB127">
        <v>275.31</v>
      </c>
      <c r="AC127" s="2">
        <f>Z127/AB127</f>
        <v>6.1965420798372746</v>
      </c>
      <c r="AD127" s="2">
        <f>AA127/AB127</f>
        <v>4.059060695216302</v>
      </c>
    </row>
    <row r="128" spans="19:30" x14ac:dyDescent="0.3">
      <c r="S128" s="2"/>
      <c r="T128" s="2"/>
      <c r="Y128">
        <v>4</v>
      </c>
      <c r="Z128">
        <v>1661.15</v>
      </c>
      <c r="AA128">
        <v>1186.94</v>
      </c>
      <c r="AB128">
        <v>272.62</v>
      </c>
      <c r="AC128" s="2">
        <f>Z128/AB128</f>
        <v>6.0932800234759004</v>
      </c>
      <c r="AD128" s="2">
        <f>AA128/AB128</f>
        <v>4.3538258381630106</v>
      </c>
    </row>
    <row r="129" spans="19:30" x14ac:dyDescent="0.3">
      <c r="S129" s="2"/>
      <c r="T129" s="2"/>
      <c r="AC129" s="2"/>
      <c r="AD129" s="2"/>
    </row>
    <row r="130" spans="19:30" x14ac:dyDescent="0.3">
      <c r="S130" s="2"/>
      <c r="T130" s="2"/>
      <c r="W130" t="s">
        <v>61</v>
      </c>
      <c r="X130" t="s">
        <v>14</v>
      </c>
      <c r="Y130">
        <v>1</v>
      </c>
      <c r="Z130">
        <v>4619.38</v>
      </c>
      <c r="AA130">
        <v>154.68</v>
      </c>
      <c r="AB130">
        <v>22.6</v>
      </c>
      <c r="AC130" s="2">
        <f>Z130/AB130</f>
        <v>204.39734513274337</v>
      </c>
      <c r="AD130" s="2">
        <f>AA130/AB130</f>
        <v>6.8442477876106196</v>
      </c>
    </row>
    <row r="131" spans="19:30" x14ac:dyDescent="0.3">
      <c r="S131" s="2"/>
      <c r="T131" s="2"/>
      <c r="X131" t="s">
        <v>62</v>
      </c>
      <c r="Y131">
        <v>2</v>
      </c>
      <c r="Z131">
        <v>2094.73</v>
      </c>
      <c r="AA131">
        <v>6763.21</v>
      </c>
      <c r="AB131">
        <v>21.96</v>
      </c>
      <c r="AC131" s="2">
        <f>Z131/AB131</f>
        <v>95.388433515482689</v>
      </c>
      <c r="AD131" s="2">
        <f>AA131/AB131</f>
        <v>307.97859744990893</v>
      </c>
    </row>
    <row r="132" spans="19:30" x14ac:dyDescent="0.3">
      <c r="S132" s="2"/>
      <c r="T132" s="2"/>
      <c r="X132" t="s">
        <v>29</v>
      </c>
      <c r="Y132">
        <v>3</v>
      </c>
      <c r="Z132">
        <v>3080.29</v>
      </c>
      <c r="AA132">
        <v>1305.9000000000001</v>
      </c>
      <c r="AB132">
        <v>41.64</v>
      </c>
      <c r="AC132" s="2">
        <f>Z132/AB132</f>
        <v>73.974303554274741</v>
      </c>
      <c r="AD132" s="2">
        <f>AA132/AB132</f>
        <v>31.361671469740635</v>
      </c>
    </row>
    <row r="133" spans="19:30" x14ac:dyDescent="0.3">
      <c r="S133" s="2"/>
      <c r="T133" s="2"/>
      <c r="Y133">
        <v>4</v>
      </c>
      <c r="Z133">
        <v>3017.48</v>
      </c>
      <c r="AA133">
        <v>1143.4000000000001</v>
      </c>
      <c r="AB133">
        <v>36.229999999999997</v>
      </c>
      <c r="AC133" s="2">
        <f>Z133/AB133</f>
        <v>83.286778912503465</v>
      </c>
      <c r="AD133" s="2">
        <f>AA133/AB133</f>
        <v>31.559481093016842</v>
      </c>
    </row>
    <row r="134" spans="19:30" x14ac:dyDescent="0.3">
      <c r="S134" s="2"/>
      <c r="T134" s="2"/>
    </row>
    <row r="135" spans="19:30" x14ac:dyDescent="0.3">
      <c r="S135" s="2"/>
      <c r="T135" s="2"/>
    </row>
    <row r="136" spans="19:30" x14ac:dyDescent="0.3">
      <c r="S136" s="2"/>
      <c r="T136" s="2"/>
    </row>
    <row r="137" spans="19:30" x14ac:dyDescent="0.3">
      <c r="S137" s="2"/>
      <c r="T137" s="2"/>
    </row>
    <row r="138" spans="19:30" x14ac:dyDescent="0.3">
      <c r="S138" s="2"/>
      <c r="T138" s="2"/>
    </row>
    <row r="139" spans="19:30" x14ac:dyDescent="0.3">
      <c r="S139" s="2"/>
      <c r="T139" s="2"/>
    </row>
    <row r="140" spans="19:30" x14ac:dyDescent="0.3">
      <c r="S140" s="2"/>
      <c r="T140" s="2"/>
    </row>
    <row r="141" spans="19:30" x14ac:dyDescent="0.3">
      <c r="S141" s="2"/>
      <c r="T141" s="2"/>
    </row>
    <row r="142" spans="19:30" x14ac:dyDescent="0.3">
      <c r="S142" s="2"/>
      <c r="T142" s="2"/>
    </row>
    <row r="143" spans="19:30" x14ac:dyDescent="0.3">
      <c r="S143" s="2"/>
      <c r="T143" s="2"/>
    </row>
    <row r="144" spans="19:30" x14ac:dyDescent="0.3">
      <c r="S144" s="2"/>
      <c r="T144" s="2"/>
    </row>
    <row r="145" spans="19:20" x14ac:dyDescent="0.3">
      <c r="S145" s="2"/>
      <c r="T145" s="2"/>
    </row>
    <row r="146" spans="19:20" x14ac:dyDescent="0.3">
      <c r="S146" s="2"/>
      <c r="T146" s="2"/>
    </row>
    <row r="147" spans="19:20" x14ac:dyDescent="0.3">
      <c r="S147" s="2"/>
      <c r="T147" s="2"/>
    </row>
    <row r="148" spans="19:20" x14ac:dyDescent="0.3">
      <c r="S148" s="2"/>
      <c r="T148" s="2"/>
    </row>
    <row r="149" spans="19:20" x14ac:dyDescent="0.3">
      <c r="S149" s="2"/>
      <c r="T149" s="2"/>
    </row>
    <row r="150" spans="19:20" x14ac:dyDescent="0.3">
      <c r="S150" s="2"/>
      <c r="T150" s="2"/>
    </row>
    <row r="151" spans="19:20" x14ac:dyDescent="0.3">
      <c r="S151" s="2"/>
      <c r="T151" s="2"/>
    </row>
    <row r="152" spans="19:20" x14ac:dyDescent="0.3">
      <c r="S152" s="2"/>
      <c r="T152" s="2"/>
    </row>
    <row r="153" spans="19:20" x14ac:dyDescent="0.3">
      <c r="S153" s="2"/>
      <c r="T153" s="2"/>
    </row>
    <row r="154" spans="19:20" x14ac:dyDescent="0.3">
      <c r="S154" s="2"/>
      <c r="T154" s="2"/>
    </row>
    <row r="155" spans="19:20" x14ac:dyDescent="0.3">
      <c r="S155" s="2"/>
      <c r="T155" s="2"/>
    </row>
    <row r="156" spans="19:20" x14ac:dyDescent="0.3">
      <c r="S156" s="2"/>
      <c r="T156" s="2"/>
    </row>
    <row r="157" spans="19:20" x14ac:dyDescent="0.3">
      <c r="S157" s="2"/>
      <c r="T157" s="2"/>
    </row>
    <row r="158" spans="19:20" x14ac:dyDescent="0.3">
      <c r="S158" s="2"/>
      <c r="T158" s="2"/>
    </row>
    <row r="159" spans="19:20" x14ac:dyDescent="0.3">
      <c r="S159" s="2"/>
      <c r="T159" s="2"/>
    </row>
    <row r="160" spans="19:20" x14ac:dyDescent="0.3">
      <c r="S160" s="2"/>
      <c r="T160" s="2"/>
    </row>
    <row r="161" spans="19:20" x14ac:dyDescent="0.3">
      <c r="S161" s="2"/>
      <c r="T161" s="2"/>
    </row>
    <row r="162" spans="19:20" x14ac:dyDescent="0.3">
      <c r="S162" s="2"/>
      <c r="T162" s="2"/>
    </row>
    <row r="163" spans="19:20" x14ac:dyDescent="0.3">
      <c r="S163" s="2"/>
      <c r="T163" s="2"/>
    </row>
    <row r="164" spans="19:20" x14ac:dyDescent="0.3">
      <c r="S164" s="2"/>
      <c r="T164" s="2"/>
    </row>
    <row r="165" spans="19:20" x14ac:dyDescent="0.3">
      <c r="S165" s="2"/>
      <c r="T165" s="2"/>
    </row>
    <row r="166" spans="19:20" x14ac:dyDescent="0.3">
      <c r="S166" s="2"/>
      <c r="T166" s="2"/>
    </row>
    <row r="167" spans="19:20" x14ac:dyDescent="0.3">
      <c r="S167" s="2"/>
      <c r="T167" s="2"/>
    </row>
    <row r="168" spans="19:20" x14ac:dyDescent="0.3">
      <c r="S168" s="2"/>
      <c r="T168" s="2"/>
    </row>
    <row r="169" spans="19:20" x14ac:dyDescent="0.3">
      <c r="S169" s="2"/>
      <c r="T169" s="2"/>
    </row>
    <row r="170" spans="19:20" x14ac:dyDescent="0.3">
      <c r="S170" s="2"/>
      <c r="T170" s="2"/>
    </row>
    <row r="171" spans="19:20" x14ac:dyDescent="0.3">
      <c r="S171" s="2"/>
      <c r="T171" s="2"/>
    </row>
    <row r="172" spans="19:20" x14ac:dyDescent="0.3">
      <c r="S172" s="2"/>
      <c r="T172" s="2"/>
    </row>
    <row r="173" spans="19:20" x14ac:dyDescent="0.3">
      <c r="S173" s="2"/>
      <c r="T173" s="2"/>
    </row>
    <row r="174" spans="19:20" x14ac:dyDescent="0.3">
      <c r="S174" s="2"/>
      <c r="T174" s="2"/>
    </row>
    <row r="175" spans="19:20" x14ac:dyDescent="0.3">
      <c r="S175" s="2"/>
      <c r="T175" s="2"/>
    </row>
    <row r="176" spans="19:20" x14ac:dyDescent="0.3">
      <c r="S176" s="2"/>
      <c r="T176" s="2"/>
    </row>
    <row r="177" spans="19:20" x14ac:dyDescent="0.3">
      <c r="S177" s="2"/>
      <c r="T177" s="2"/>
    </row>
    <row r="178" spans="19:20" x14ac:dyDescent="0.3">
      <c r="S178" s="2"/>
      <c r="T178" s="2"/>
    </row>
    <row r="179" spans="19:20" x14ac:dyDescent="0.3">
      <c r="S179" s="2"/>
      <c r="T179" s="2"/>
    </row>
    <row r="180" spans="19:20" x14ac:dyDescent="0.3">
      <c r="S180" s="2"/>
      <c r="T180" s="2"/>
    </row>
    <row r="181" spans="19:20" x14ac:dyDescent="0.3">
      <c r="S181" s="2"/>
      <c r="T181" s="2"/>
    </row>
    <row r="182" spans="19:20" x14ac:dyDescent="0.3">
      <c r="S182" s="2"/>
      <c r="T182" s="2"/>
    </row>
    <row r="183" spans="19:20" x14ac:dyDescent="0.3">
      <c r="S183" s="2"/>
      <c r="T183" s="2"/>
    </row>
    <row r="184" spans="19:20" x14ac:dyDescent="0.3">
      <c r="S184" s="2"/>
      <c r="T184" s="2"/>
    </row>
    <row r="185" spans="19:20" x14ac:dyDescent="0.3">
      <c r="S185" s="2"/>
      <c r="T185" s="2"/>
    </row>
    <row r="186" spans="19:20" x14ac:dyDescent="0.3">
      <c r="S186" s="2"/>
      <c r="T186" s="2"/>
    </row>
    <row r="187" spans="19:20" x14ac:dyDescent="0.3">
      <c r="S187" s="2"/>
      <c r="T187" s="2"/>
    </row>
    <row r="188" spans="19:20" x14ac:dyDescent="0.3">
      <c r="S188" s="2"/>
      <c r="T188" s="2"/>
    </row>
    <row r="189" spans="19:20" x14ac:dyDescent="0.3">
      <c r="S189" s="2"/>
      <c r="T189" s="2"/>
    </row>
    <row r="190" spans="19:20" x14ac:dyDescent="0.3">
      <c r="S190" s="2"/>
      <c r="T190" s="2"/>
    </row>
    <row r="191" spans="19:20" x14ac:dyDescent="0.3">
      <c r="S191" s="2"/>
      <c r="T191" s="2"/>
    </row>
    <row r="192" spans="19:20" x14ac:dyDescent="0.3">
      <c r="S192" s="2"/>
      <c r="T192" s="2"/>
    </row>
    <row r="193" spans="19:20" x14ac:dyDescent="0.3">
      <c r="S193" s="2"/>
      <c r="T193" s="2"/>
    </row>
    <row r="194" spans="19:20" x14ac:dyDescent="0.3">
      <c r="S194" s="2"/>
      <c r="T194" s="2"/>
    </row>
    <row r="195" spans="19:20" x14ac:dyDescent="0.3">
      <c r="S195" s="2"/>
      <c r="T195" s="2"/>
    </row>
    <row r="196" spans="19:20" x14ac:dyDescent="0.3">
      <c r="S196" s="2"/>
      <c r="T196" s="2"/>
    </row>
    <row r="197" spans="19:20" x14ac:dyDescent="0.3">
      <c r="S197" s="2"/>
      <c r="T197" s="2"/>
    </row>
    <row r="198" spans="19:20" x14ac:dyDescent="0.3">
      <c r="S198" s="2"/>
      <c r="T198" s="2"/>
    </row>
    <row r="199" spans="19:20" x14ac:dyDescent="0.3">
      <c r="S199" s="2"/>
      <c r="T199" s="2"/>
    </row>
    <row r="200" spans="19:20" x14ac:dyDescent="0.3">
      <c r="S200" s="2"/>
      <c r="T200" s="2"/>
    </row>
    <row r="201" spans="19:20" x14ac:dyDescent="0.3">
      <c r="S201" s="2"/>
      <c r="T201" s="2"/>
    </row>
    <row r="202" spans="19:20" x14ac:dyDescent="0.3">
      <c r="S202" s="2"/>
      <c r="T202" s="2"/>
    </row>
    <row r="203" spans="19:20" x14ac:dyDescent="0.3">
      <c r="S203" s="2"/>
      <c r="T203" s="2"/>
    </row>
    <row r="204" spans="19:20" x14ac:dyDescent="0.3">
      <c r="S204" s="2"/>
      <c r="T204" s="2"/>
    </row>
    <row r="205" spans="19:20" x14ac:dyDescent="0.3">
      <c r="S205" s="2"/>
      <c r="T205" s="2"/>
    </row>
    <row r="206" spans="19:20" x14ac:dyDescent="0.3">
      <c r="S206" s="2"/>
      <c r="T206" s="2"/>
    </row>
    <row r="207" spans="19:20" x14ac:dyDescent="0.3">
      <c r="S207" s="2"/>
      <c r="T207" s="2"/>
    </row>
    <row r="208" spans="19:20" x14ac:dyDescent="0.3">
      <c r="S208" s="2"/>
      <c r="T208" s="2"/>
    </row>
    <row r="209" spans="19:20" x14ac:dyDescent="0.3">
      <c r="S209" s="2"/>
      <c r="T209" s="2"/>
    </row>
    <row r="210" spans="19:20" x14ac:dyDescent="0.3">
      <c r="S210" s="2"/>
      <c r="T210" s="2"/>
    </row>
    <row r="211" spans="19:20" x14ac:dyDescent="0.3">
      <c r="S211" s="2"/>
      <c r="T211" s="2"/>
    </row>
    <row r="212" spans="19:20" x14ac:dyDescent="0.3">
      <c r="S212" s="2"/>
      <c r="T212" s="2"/>
    </row>
    <row r="213" spans="19:20" x14ac:dyDescent="0.3">
      <c r="S213" s="2"/>
      <c r="T213" s="2"/>
    </row>
    <row r="214" spans="19:20" x14ac:dyDescent="0.3">
      <c r="S214" s="2"/>
      <c r="T214" s="2"/>
    </row>
    <row r="215" spans="19:20" x14ac:dyDescent="0.3">
      <c r="S215" s="2"/>
      <c r="T215" s="2"/>
    </row>
    <row r="216" spans="19:20" x14ac:dyDescent="0.3">
      <c r="S216" s="2"/>
      <c r="T216" s="2"/>
    </row>
    <row r="217" spans="19:20" x14ac:dyDescent="0.3">
      <c r="S217" s="2"/>
      <c r="T217" s="2"/>
    </row>
    <row r="218" spans="19:20" x14ac:dyDescent="0.3">
      <c r="S218" s="2"/>
      <c r="T218" s="2"/>
    </row>
    <row r="219" spans="19:20" x14ac:dyDescent="0.3">
      <c r="S219" s="2"/>
      <c r="T219" s="2"/>
    </row>
    <row r="220" spans="19:20" x14ac:dyDescent="0.3">
      <c r="S220" s="2"/>
      <c r="T220" s="2"/>
    </row>
    <row r="221" spans="19:20" x14ac:dyDescent="0.3">
      <c r="S221" s="2"/>
      <c r="T221" s="2"/>
    </row>
    <row r="222" spans="19:20" x14ac:dyDescent="0.3">
      <c r="S222" s="2"/>
      <c r="T222" s="2"/>
    </row>
    <row r="223" spans="19:20" x14ac:dyDescent="0.3">
      <c r="S223" s="2"/>
      <c r="T223" s="2"/>
    </row>
    <row r="224" spans="19:20" x14ac:dyDescent="0.3">
      <c r="S224" s="2"/>
      <c r="T224" s="2"/>
    </row>
    <row r="225" spans="19:20" x14ac:dyDescent="0.3">
      <c r="S225" s="2"/>
      <c r="T225" s="2"/>
    </row>
    <row r="226" spans="19:20" x14ac:dyDescent="0.3">
      <c r="S226" s="2"/>
      <c r="T226" s="2"/>
    </row>
    <row r="227" spans="19:20" x14ac:dyDescent="0.3">
      <c r="S227" s="2"/>
      <c r="T227" s="2"/>
    </row>
    <row r="228" spans="19:20" x14ac:dyDescent="0.3">
      <c r="S228" s="2"/>
      <c r="T228" s="2"/>
    </row>
    <row r="229" spans="19:20" x14ac:dyDescent="0.3">
      <c r="S229" s="2"/>
      <c r="T229" s="2"/>
    </row>
    <row r="230" spans="19:20" x14ac:dyDescent="0.3">
      <c r="S230" s="2"/>
      <c r="T230" s="2"/>
    </row>
    <row r="231" spans="19:20" x14ac:dyDescent="0.3">
      <c r="S231" s="2"/>
      <c r="T231" s="2"/>
    </row>
    <row r="232" spans="19:20" x14ac:dyDescent="0.3">
      <c r="S232" s="2"/>
      <c r="T232" s="2"/>
    </row>
    <row r="233" spans="19:20" x14ac:dyDescent="0.3">
      <c r="S233" s="2"/>
      <c r="T233" s="2"/>
    </row>
    <row r="234" spans="19:20" x14ac:dyDescent="0.3">
      <c r="S234" s="2"/>
      <c r="T234" s="2"/>
    </row>
    <row r="235" spans="19:20" x14ac:dyDescent="0.3">
      <c r="S235" s="2"/>
      <c r="T235" s="2"/>
    </row>
    <row r="236" spans="19:20" x14ac:dyDescent="0.3">
      <c r="S236" s="2"/>
      <c r="T236" s="2"/>
    </row>
    <row r="237" spans="19:20" x14ac:dyDescent="0.3">
      <c r="S237" s="2"/>
      <c r="T237" s="2"/>
    </row>
    <row r="238" spans="19:20" x14ac:dyDescent="0.3">
      <c r="S238" s="2"/>
      <c r="T238" s="2"/>
    </row>
    <row r="239" spans="19:20" x14ac:dyDescent="0.3">
      <c r="S239" s="2"/>
      <c r="T239" s="2"/>
    </row>
    <row r="240" spans="19:20" x14ac:dyDescent="0.3">
      <c r="S240" s="2"/>
      <c r="T240" s="2"/>
    </row>
    <row r="241" spans="19:20" x14ac:dyDescent="0.3">
      <c r="S241" s="2"/>
      <c r="T241" s="2"/>
    </row>
    <row r="242" spans="19:20" x14ac:dyDescent="0.3">
      <c r="S242" s="2"/>
      <c r="T242" s="2"/>
    </row>
    <row r="243" spans="19:20" x14ac:dyDescent="0.3">
      <c r="S243" s="2"/>
      <c r="T243" s="2"/>
    </row>
    <row r="244" spans="19:20" x14ac:dyDescent="0.3">
      <c r="S244" s="2"/>
      <c r="T244" s="2"/>
    </row>
    <row r="245" spans="19:20" x14ac:dyDescent="0.3">
      <c r="S245" s="2"/>
      <c r="T245" s="2"/>
    </row>
    <row r="246" spans="19:20" x14ac:dyDescent="0.3">
      <c r="S246" s="2"/>
      <c r="T246" s="2"/>
    </row>
    <row r="247" spans="19:20" x14ac:dyDescent="0.3">
      <c r="S247" s="2"/>
      <c r="T247" s="2"/>
    </row>
    <row r="248" spans="19:20" x14ac:dyDescent="0.3">
      <c r="S248" s="2"/>
      <c r="T248" s="2"/>
    </row>
    <row r="249" spans="19:20" x14ac:dyDescent="0.3">
      <c r="S249" s="2"/>
      <c r="T249" s="2"/>
    </row>
    <row r="250" spans="19:20" x14ac:dyDescent="0.3">
      <c r="S250" s="2"/>
      <c r="T250" s="2"/>
    </row>
    <row r="251" spans="19:20" x14ac:dyDescent="0.3">
      <c r="S251" s="2"/>
      <c r="T251" s="2"/>
    </row>
    <row r="252" spans="19:20" x14ac:dyDescent="0.3">
      <c r="S252" s="2"/>
      <c r="T252" s="2"/>
    </row>
    <row r="253" spans="19:20" x14ac:dyDescent="0.3">
      <c r="S253" s="2"/>
      <c r="T253" s="2"/>
    </row>
    <row r="254" spans="19:20" x14ac:dyDescent="0.3">
      <c r="S254" s="2"/>
      <c r="T254" s="2"/>
    </row>
    <row r="255" spans="19:20" x14ac:dyDescent="0.3">
      <c r="S255" s="2"/>
      <c r="T255" s="2"/>
    </row>
    <row r="256" spans="19:20" x14ac:dyDescent="0.3">
      <c r="S256" s="2"/>
      <c r="T256" s="2"/>
    </row>
    <row r="257" spans="19:20" x14ac:dyDescent="0.3">
      <c r="S257" s="2"/>
      <c r="T257" s="2"/>
    </row>
    <row r="258" spans="19:20" x14ac:dyDescent="0.3">
      <c r="S258" s="2"/>
      <c r="T258" s="2"/>
    </row>
    <row r="259" spans="19:20" x14ac:dyDescent="0.3">
      <c r="S259" s="2"/>
      <c r="T259" s="2"/>
    </row>
    <row r="260" spans="19:20" x14ac:dyDescent="0.3">
      <c r="S260" s="2"/>
      <c r="T260" s="2"/>
    </row>
    <row r="261" spans="19:20" x14ac:dyDescent="0.3">
      <c r="S261" s="2"/>
      <c r="T261" s="2"/>
    </row>
    <row r="262" spans="19:20" x14ac:dyDescent="0.3">
      <c r="S262" s="2"/>
      <c r="T262" s="2"/>
    </row>
    <row r="263" spans="19:20" x14ac:dyDescent="0.3">
      <c r="S263" s="2"/>
      <c r="T263" s="2"/>
    </row>
    <row r="264" spans="19:20" x14ac:dyDescent="0.3">
      <c r="S264" s="2"/>
      <c r="T264" s="2"/>
    </row>
    <row r="265" spans="19:20" x14ac:dyDescent="0.3">
      <c r="S265" s="2"/>
      <c r="T265" s="2"/>
    </row>
    <row r="266" spans="19:20" x14ac:dyDescent="0.3">
      <c r="S266" s="2"/>
      <c r="T266" s="2"/>
    </row>
    <row r="267" spans="19:20" x14ac:dyDescent="0.3">
      <c r="S267" s="2"/>
      <c r="T267" s="2"/>
    </row>
    <row r="268" spans="19:20" x14ac:dyDescent="0.3">
      <c r="S268" s="2"/>
      <c r="T268" s="2"/>
    </row>
    <row r="269" spans="19:20" x14ac:dyDescent="0.3">
      <c r="S269" s="2"/>
      <c r="T269" s="2"/>
    </row>
    <row r="270" spans="19:20" x14ac:dyDescent="0.3">
      <c r="S270" s="2"/>
      <c r="T270" s="2"/>
    </row>
    <row r="271" spans="19:20" x14ac:dyDescent="0.3">
      <c r="S271" s="2"/>
      <c r="T271" s="2"/>
    </row>
    <row r="272" spans="19:20" x14ac:dyDescent="0.3">
      <c r="S272" s="2"/>
      <c r="T272" s="2"/>
    </row>
    <row r="273" spans="19:20" x14ac:dyDescent="0.3">
      <c r="S273" s="2"/>
      <c r="T273" s="2"/>
    </row>
    <row r="274" spans="19:20" x14ac:dyDescent="0.3">
      <c r="S274" s="2"/>
      <c r="T274" s="2"/>
    </row>
    <row r="275" spans="19:20" x14ac:dyDescent="0.3">
      <c r="S275" s="2"/>
      <c r="T275" s="2"/>
    </row>
    <row r="276" spans="19:20" x14ac:dyDescent="0.3">
      <c r="S276" s="2"/>
      <c r="T276" s="2"/>
    </row>
    <row r="277" spans="19:20" x14ac:dyDescent="0.3">
      <c r="S277" s="2"/>
      <c r="T277" s="2"/>
    </row>
    <row r="278" spans="19:20" x14ac:dyDescent="0.3">
      <c r="S278" s="2"/>
      <c r="T278" s="2"/>
    </row>
    <row r="279" spans="19:20" x14ac:dyDescent="0.3">
      <c r="S279" s="2"/>
      <c r="T279" s="2"/>
    </row>
    <row r="280" spans="19:20" x14ac:dyDescent="0.3">
      <c r="S280" s="2"/>
      <c r="T280" s="2"/>
    </row>
    <row r="281" spans="19:20" x14ac:dyDescent="0.3">
      <c r="S281" s="2"/>
      <c r="T281" s="2"/>
    </row>
    <row r="282" spans="19:20" x14ac:dyDescent="0.3">
      <c r="S282" s="2"/>
      <c r="T282" s="2"/>
    </row>
    <row r="283" spans="19:20" x14ac:dyDescent="0.3">
      <c r="S283" s="2"/>
      <c r="T283" s="2"/>
    </row>
    <row r="284" spans="19:20" x14ac:dyDescent="0.3">
      <c r="S284" s="2"/>
      <c r="T284" s="2"/>
    </row>
    <row r="285" spans="19:20" x14ac:dyDescent="0.3">
      <c r="S285" s="2"/>
      <c r="T285" s="2"/>
    </row>
    <row r="286" spans="19:20" x14ac:dyDescent="0.3">
      <c r="S286" s="2"/>
      <c r="T286" s="2"/>
    </row>
    <row r="287" spans="19:20" x14ac:dyDescent="0.3">
      <c r="S287" s="2"/>
      <c r="T287" s="2"/>
    </row>
    <row r="288" spans="19:20" x14ac:dyDescent="0.3">
      <c r="S288" s="2"/>
      <c r="T288" s="2"/>
    </row>
    <row r="289" spans="19:20" x14ac:dyDescent="0.3">
      <c r="S289" s="2"/>
      <c r="T289" s="2"/>
    </row>
    <row r="290" spans="19:20" x14ac:dyDescent="0.3">
      <c r="S290" s="2"/>
      <c r="T290" s="2"/>
    </row>
    <row r="291" spans="19:20" x14ac:dyDescent="0.3">
      <c r="S291" s="2"/>
      <c r="T291" s="2"/>
    </row>
    <row r="292" spans="19:20" x14ac:dyDescent="0.3">
      <c r="S292" s="2"/>
      <c r="T292" s="2"/>
    </row>
    <row r="293" spans="19:20" x14ac:dyDescent="0.3">
      <c r="S293" s="2"/>
      <c r="T293" s="2"/>
    </row>
    <row r="294" spans="19:20" x14ac:dyDescent="0.3">
      <c r="S294" s="2"/>
      <c r="T294" s="2"/>
    </row>
    <row r="295" spans="19:20" x14ac:dyDescent="0.3">
      <c r="S295" s="2"/>
      <c r="T295" s="2"/>
    </row>
    <row r="296" spans="19:20" x14ac:dyDescent="0.3">
      <c r="S296" s="2"/>
      <c r="T296" s="2"/>
    </row>
    <row r="297" spans="19:20" x14ac:dyDescent="0.3">
      <c r="S297" s="2"/>
      <c r="T297" s="2"/>
    </row>
    <row r="298" spans="19:20" x14ac:dyDescent="0.3">
      <c r="S298" s="2"/>
      <c r="T298" s="2"/>
    </row>
    <row r="299" spans="19:20" x14ac:dyDescent="0.3">
      <c r="S299" s="2"/>
      <c r="T299" s="2"/>
    </row>
    <row r="300" spans="19:20" x14ac:dyDescent="0.3">
      <c r="S300" s="2"/>
      <c r="T300" s="2"/>
    </row>
    <row r="301" spans="19:20" x14ac:dyDescent="0.3">
      <c r="S301" s="2"/>
      <c r="T301" s="2"/>
    </row>
    <row r="302" spans="19:20" x14ac:dyDescent="0.3">
      <c r="S302" s="2"/>
      <c r="T302" s="2"/>
    </row>
    <row r="303" spans="19:20" x14ac:dyDescent="0.3">
      <c r="S303" s="2"/>
      <c r="T303" s="2"/>
    </row>
    <row r="304" spans="19:20" x14ac:dyDescent="0.3">
      <c r="S304" s="2"/>
      <c r="T304" s="2"/>
    </row>
    <row r="305" spans="19:20" x14ac:dyDescent="0.3">
      <c r="S305" s="2"/>
      <c r="T305" s="2"/>
    </row>
    <row r="306" spans="19:20" x14ac:dyDescent="0.3">
      <c r="S306" s="2"/>
      <c r="T306" s="2"/>
    </row>
    <row r="307" spans="19:20" x14ac:dyDescent="0.3">
      <c r="S307" s="2"/>
      <c r="T307" s="2"/>
    </row>
    <row r="308" spans="19:20" x14ac:dyDescent="0.3">
      <c r="S308" s="2"/>
      <c r="T308" s="2"/>
    </row>
    <row r="309" spans="19:20" x14ac:dyDescent="0.3">
      <c r="S309" s="2"/>
      <c r="T309" s="2"/>
    </row>
    <row r="310" spans="19:20" x14ac:dyDescent="0.3">
      <c r="S310" s="2"/>
      <c r="T310" s="2"/>
    </row>
    <row r="311" spans="19:20" x14ac:dyDescent="0.3">
      <c r="S311" s="2"/>
      <c r="T311" s="2"/>
    </row>
    <row r="312" spans="19:20" x14ac:dyDescent="0.3">
      <c r="S312" s="2"/>
      <c r="T312" s="2"/>
    </row>
    <row r="313" spans="19:20" x14ac:dyDescent="0.3">
      <c r="S313" s="2"/>
      <c r="T313" s="2"/>
    </row>
    <row r="314" spans="19:20" x14ac:dyDescent="0.3">
      <c r="S314" s="2"/>
      <c r="T314" s="2"/>
    </row>
    <row r="315" spans="19:20" x14ac:dyDescent="0.3">
      <c r="S315" s="2"/>
      <c r="T315" s="2"/>
    </row>
    <row r="316" spans="19:20" x14ac:dyDescent="0.3">
      <c r="S316" s="2"/>
      <c r="T316" s="2"/>
    </row>
    <row r="317" spans="19:20" x14ac:dyDescent="0.3">
      <c r="S317" s="2"/>
      <c r="T317" s="2"/>
    </row>
    <row r="318" spans="19:20" x14ac:dyDescent="0.3">
      <c r="S318" s="2"/>
      <c r="T318" s="2"/>
    </row>
    <row r="319" spans="19:20" x14ac:dyDescent="0.3">
      <c r="S319" s="2"/>
      <c r="T319" s="2"/>
    </row>
    <row r="320" spans="19:20" x14ac:dyDescent="0.3">
      <c r="S320" s="2"/>
      <c r="T320" s="2"/>
    </row>
    <row r="321" spans="19:20" x14ac:dyDescent="0.3">
      <c r="S321" s="2"/>
      <c r="T321" s="2"/>
    </row>
    <row r="322" spans="19:20" x14ac:dyDescent="0.3">
      <c r="S322" s="2"/>
      <c r="T322" s="2"/>
    </row>
    <row r="323" spans="19:20" x14ac:dyDescent="0.3">
      <c r="S323" s="2"/>
      <c r="T323" s="2"/>
    </row>
    <row r="324" spans="19:20" x14ac:dyDescent="0.3">
      <c r="S324" s="2"/>
      <c r="T324" s="2"/>
    </row>
    <row r="325" spans="19:20" x14ac:dyDescent="0.3">
      <c r="S325" s="2"/>
      <c r="T325" s="2"/>
    </row>
    <row r="326" spans="19:20" x14ac:dyDescent="0.3">
      <c r="S326" s="2"/>
      <c r="T326" s="2"/>
    </row>
    <row r="327" spans="19:20" x14ac:dyDescent="0.3">
      <c r="S327" s="2"/>
      <c r="T327" s="2"/>
    </row>
    <row r="328" spans="19:20" x14ac:dyDescent="0.3">
      <c r="S328" s="2"/>
      <c r="T328" s="2"/>
    </row>
    <row r="329" spans="19:20" x14ac:dyDescent="0.3">
      <c r="S329" s="2"/>
      <c r="T329" s="2"/>
    </row>
    <row r="330" spans="19:20" x14ac:dyDescent="0.3">
      <c r="S330" s="2"/>
      <c r="T330" s="2"/>
    </row>
    <row r="331" spans="19:20" x14ac:dyDescent="0.3">
      <c r="S331" s="2"/>
      <c r="T331" s="2"/>
    </row>
    <row r="332" spans="19:20" x14ac:dyDescent="0.3">
      <c r="S332" s="2"/>
      <c r="T332" s="2"/>
    </row>
    <row r="333" spans="19:20" x14ac:dyDescent="0.3">
      <c r="S333" s="2"/>
      <c r="T333" s="2"/>
    </row>
    <row r="334" spans="19:20" x14ac:dyDescent="0.3">
      <c r="S334" s="2"/>
      <c r="T334" s="2"/>
    </row>
    <row r="335" spans="19:20" x14ac:dyDescent="0.3">
      <c r="S335" s="2"/>
      <c r="T335" s="2"/>
    </row>
    <row r="336" spans="19:20" x14ac:dyDescent="0.3">
      <c r="S336" s="2"/>
      <c r="T336" s="2"/>
    </row>
    <row r="337" spans="19:20" x14ac:dyDescent="0.3">
      <c r="S337" s="2"/>
      <c r="T337" s="2"/>
    </row>
    <row r="338" spans="19:20" x14ac:dyDescent="0.3">
      <c r="S338" s="2"/>
      <c r="T338" s="2"/>
    </row>
    <row r="339" spans="19:20" x14ac:dyDescent="0.3">
      <c r="S339" s="2"/>
      <c r="T339" s="2"/>
    </row>
    <row r="340" spans="19:20" x14ac:dyDescent="0.3">
      <c r="S340" s="2"/>
      <c r="T340" s="2"/>
    </row>
    <row r="341" spans="19:20" x14ac:dyDescent="0.3">
      <c r="S341" s="2"/>
      <c r="T341" s="2"/>
    </row>
    <row r="342" spans="19:20" x14ac:dyDescent="0.3">
      <c r="S342" s="2"/>
      <c r="T342" s="2"/>
    </row>
    <row r="343" spans="19:20" x14ac:dyDescent="0.3">
      <c r="S343" s="2"/>
      <c r="T343" s="2"/>
    </row>
    <row r="344" spans="19:20" x14ac:dyDescent="0.3">
      <c r="S344" s="2"/>
      <c r="T344" s="2"/>
    </row>
    <row r="345" spans="19:20" x14ac:dyDescent="0.3">
      <c r="S345" s="2"/>
      <c r="T345" s="2"/>
    </row>
    <row r="346" spans="19:20" x14ac:dyDescent="0.3">
      <c r="S346" s="2"/>
      <c r="T346" s="2"/>
    </row>
    <row r="347" spans="19:20" x14ac:dyDescent="0.3">
      <c r="S347" s="2"/>
      <c r="T347" s="2"/>
    </row>
    <row r="348" spans="19:20" x14ac:dyDescent="0.3">
      <c r="S348" s="2"/>
      <c r="T348" s="2"/>
    </row>
    <row r="349" spans="19:20" x14ac:dyDescent="0.3">
      <c r="S349" s="2"/>
      <c r="T349" s="2"/>
    </row>
    <row r="350" spans="19:20" x14ac:dyDescent="0.3">
      <c r="S350" s="2"/>
      <c r="T350" s="2"/>
    </row>
    <row r="351" spans="19:20" x14ac:dyDescent="0.3">
      <c r="S351" s="2"/>
      <c r="T351" s="2"/>
    </row>
    <row r="352" spans="19:20" x14ac:dyDescent="0.3">
      <c r="S352" s="2"/>
      <c r="T352" s="2"/>
    </row>
    <row r="353" spans="19:20" x14ac:dyDescent="0.3">
      <c r="S353" s="2"/>
      <c r="T353" s="2"/>
    </row>
    <row r="354" spans="19:20" x14ac:dyDescent="0.3">
      <c r="S354" s="2"/>
      <c r="T354" s="2"/>
    </row>
    <row r="355" spans="19:20" x14ac:dyDescent="0.3">
      <c r="S355" s="2"/>
      <c r="T355" s="2"/>
    </row>
    <row r="356" spans="19:20" x14ac:dyDescent="0.3">
      <c r="S356" s="2"/>
      <c r="T356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A9BD-E3B3-44C9-9940-A1C3E889C937}">
  <sheetPr codeName="Sheet2"/>
  <dimension ref="A1:EC928"/>
  <sheetViews>
    <sheetView tabSelected="1" zoomScale="71" zoomScaleNormal="90" workbookViewId="0">
      <pane xSplit="1" topLeftCell="P1" activePane="topRight" state="frozen"/>
      <selection pane="topRight" activeCell="X15" sqref="X15"/>
    </sheetView>
  </sheetViews>
  <sheetFormatPr defaultRowHeight="14.4" x14ac:dyDescent="0.3"/>
  <sheetData>
    <row r="1" spans="1:133" x14ac:dyDescent="0.3">
      <c r="B1" s="4" t="s">
        <v>72</v>
      </c>
      <c r="C1" s="4" t="s">
        <v>73</v>
      </c>
      <c r="D1" s="4" t="s">
        <v>74</v>
      </c>
      <c r="E1" s="4" t="s">
        <v>75</v>
      </c>
      <c r="F1" s="4" t="s">
        <v>76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82</v>
      </c>
      <c r="M1" s="4" t="s">
        <v>83</v>
      </c>
      <c r="N1" s="4" t="s">
        <v>84</v>
      </c>
      <c r="O1" s="4" t="s">
        <v>85</v>
      </c>
      <c r="P1" s="4" t="s">
        <v>86</v>
      </c>
      <c r="Q1" s="4" t="s">
        <v>87</v>
      </c>
      <c r="R1" s="4" t="s">
        <v>88</v>
      </c>
      <c r="S1" s="4" t="s">
        <v>89</v>
      </c>
      <c r="T1" s="4" t="s">
        <v>90</v>
      </c>
      <c r="U1" s="4" t="s">
        <v>91</v>
      </c>
      <c r="V1" s="4" t="s">
        <v>92</v>
      </c>
      <c r="W1" s="4" t="s">
        <v>93</v>
      </c>
      <c r="X1" s="4" t="s">
        <v>94</v>
      </c>
      <c r="Y1" s="4" t="s">
        <v>95</v>
      </c>
      <c r="Z1" s="4" t="s">
        <v>96</v>
      </c>
      <c r="AA1" s="4" t="s">
        <v>97</v>
      </c>
      <c r="AB1" s="4" t="s">
        <v>98</v>
      </c>
      <c r="AC1" s="4" t="s">
        <v>99</v>
      </c>
      <c r="AD1" s="4" t="s">
        <v>100</v>
      </c>
      <c r="AE1" s="4" t="s">
        <v>101</v>
      </c>
      <c r="AF1" s="4" t="s">
        <v>102</v>
      </c>
      <c r="AG1" s="4" t="s">
        <v>103</v>
      </c>
      <c r="AH1" s="4" t="s">
        <v>104</v>
      </c>
      <c r="AI1" s="4" t="s">
        <v>105</v>
      </c>
      <c r="AJ1" s="4" t="s">
        <v>106</v>
      </c>
      <c r="AK1" s="4" t="s">
        <v>107</v>
      </c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G1" s="4"/>
      <c r="CI1" s="4"/>
      <c r="CJ1" s="4"/>
      <c r="CK1" s="4"/>
      <c r="CM1" s="4"/>
      <c r="CP1" s="4"/>
      <c r="CS1" s="4"/>
      <c r="CV1" s="4"/>
      <c r="CY1" s="4"/>
      <c r="DB1" s="4"/>
      <c r="DE1" s="4"/>
      <c r="DH1" s="4"/>
      <c r="DK1" s="4"/>
      <c r="DN1" s="4"/>
      <c r="DQ1" s="4"/>
      <c r="DT1" s="4"/>
      <c r="DW1" s="4"/>
      <c r="DZ1" s="4"/>
      <c r="EC1" s="4"/>
    </row>
    <row r="2" spans="1:133" x14ac:dyDescent="0.3">
      <c r="A2" s="4" t="s">
        <v>48</v>
      </c>
      <c r="B2" t="s">
        <v>108</v>
      </c>
      <c r="C2" t="s">
        <v>108</v>
      </c>
      <c r="D2" t="s">
        <v>110</v>
      </c>
      <c r="E2" t="s">
        <v>110</v>
      </c>
      <c r="F2" t="s">
        <v>111</v>
      </c>
      <c r="G2" t="s">
        <v>111</v>
      </c>
      <c r="H2" t="s">
        <v>111</v>
      </c>
      <c r="I2" t="s">
        <v>111</v>
      </c>
      <c r="J2" t="s">
        <v>114</v>
      </c>
      <c r="K2" t="s">
        <v>110</v>
      </c>
      <c r="L2" t="s">
        <v>110</v>
      </c>
      <c r="M2" t="s">
        <v>111</v>
      </c>
      <c r="N2" t="s">
        <v>111</v>
      </c>
      <c r="O2" t="s">
        <v>111</v>
      </c>
      <c r="P2" t="s">
        <v>111</v>
      </c>
      <c r="Q2" t="s">
        <v>154</v>
      </c>
      <c r="R2" t="s">
        <v>154</v>
      </c>
      <c r="S2" t="s">
        <v>162</v>
      </c>
      <c r="T2" t="s">
        <v>162</v>
      </c>
      <c r="U2" t="s">
        <v>162</v>
      </c>
      <c r="V2" t="s">
        <v>162</v>
      </c>
      <c r="W2" t="s">
        <v>176</v>
      </c>
      <c r="X2" t="s">
        <v>176</v>
      </c>
      <c r="Y2" t="s">
        <v>176</v>
      </c>
      <c r="Z2" t="s">
        <v>176</v>
      </c>
      <c r="AA2" t="s">
        <v>176</v>
      </c>
      <c r="AB2" t="s">
        <v>176</v>
      </c>
      <c r="AC2" t="s">
        <v>176</v>
      </c>
      <c r="AD2" t="s">
        <v>176</v>
      </c>
      <c r="AE2" t="s">
        <v>176</v>
      </c>
      <c r="AF2" t="s">
        <v>176</v>
      </c>
      <c r="AG2" t="s">
        <v>176</v>
      </c>
      <c r="AH2" t="s">
        <v>176</v>
      </c>
      <c r="AI2" t="s">
        <v>176</v>
      </c>
      <c r="AJ2" t="s">
        <v>176</v>
      </c>
      <c r="AK2" t="s">
        <v>176</v>
      </c>
    </row>
    <row r="3" spans="1:133" x14ac:dyDescent="0.3">
      <c r="A3" s="4" t="s">
        <v>49</v>
      </c>
      <c r="B3" t="s">
        <v>108</v>
      </c>
      <c r="C3" t="s">
        <v>108</v>
      </c>
      <c r="D3" t="s">
        <v>110</v>
      </c>
      <c r="E3" t="s">
        <v>110</v>
      </c>
      <c r="H3" t="s">
        <v>111</v>
      </c>
      <c r="J3" t="s">
        <v>110</v>
      </c>
      <c r="K3" t="s">
        <v>110</v>
      </c>
      <c r="L3" t="s">
        <v>110</v>
      </c>
      <c r="M3" t="s">
        <v>111</v>
      </c>
      <c r="P3" t="s">
        <v>111</v>
      </c>
      <c r="Q3" t="s">
        <v>154</v>
      </c>
      <c r="R3" t="s">
        <v>154</v>
      </c>
      <c r="S3" t="s">
        <v>114</v>
      </c>
      <c r="T3" t="s">
        <v>119</v>
      </c>
      <c r="U3" t="s">
        <v>119</v>
      </c>
      <c r="V3" t="s">
        <v>119</v>
      </c>
      <c r="W3" t="s">
        <v>176</v>
      </c>
      <c r="AA3" t="s">
        <v>176</v>
      </c>
      <c r="AB3" t="s">
        <v>176</v>
      </c>
    </row>
    <row r="4" spans="1:133" x14ac:dyDescent="0.3">
      <c r="A4" s="4" t="s">
        <v>50</v>
      </c>
      <c r="B4" s="4" t="s">
        <v>109</v>
      </c>
      <c r="C4" t="s">
        <v>108</v>
      </c>
      <c r="D4" t="s">
        <v>110</v>
      </c>
      <c r="E4" t="s">
        <v>110</v>
      </c>
      <c r="J4" t="s">
        <v>114</v>
      </c>
      <c r="P4" t="s">
        <v>111</v>
      </c>
      <c r="Q4" t="s">
        <v>114</v>
      </c>
      <c r="R4" t="s">
        <v>114</v>
      </c>
      <c r="S4" t="s">
        <v>114</v>
      </c>
      <c r="U4" t="s">
        <v>114</v>
      </c>
      <c r="V4" t="s">
        <v>114</v>
      </c>
      <c r="W4" t="s">
        <v>176</v>
      </c>
      <c r="AA4" t="s">
        <v>176</v>
      </c>
      <c r="AB4" t="s">
        <v>176</v>
      </c>
    </row>
    <row r="5" spans="1:133" x14ac:dyDescent="0.3">
      <c r="A5" s="4" t="s">
        <v>66</v>
      </c>
      <c r="B5" t="s">
        <v>112</v>
      </c>
      <c r="C5" t="s">
        <v>118</v>
      </c>
      <c r="D5" t="s">
        <v>110</v>
      </c>
      <c r="P5" t="s">
        <v>110</v>
      </c>
      <c r="Q5" t="s">
        <v>114</v>
      </c>
      <c r="R5" t="s">
        <v>114</v>
      </c>
      <c r="S5" t="s">
        <v>114</v>
      </c>
      <c r="W5" t="s">
        <v>154</v>
      </c>
      <c r="X5" t="s">
        <v>154</v>
      </c>
      <c r="Y5" t="s">
        <v>154</v>
      </c>
      <c r="Z5" t="s">
        <v>154</v>
      </c>
      <c r="AA5" t="s">
        <v>154</v>
      </c>
      <c r="AB5" t="s">
        <v>176</v>
      </c>
    </row>
    <row r="6" spans="1:133" x14ac:dyDescent="0.3">
      <c r="A6" s="4" t="s">
        <v>67</v>
      </c>
      <c r="B6" t="s">
        <v>112</v>
      </c>
      <c r="C6" t="s">
        <v>109</v>
      </c>
      <c r="D6" t="s">
        <v>111</v>
      </c>
      <c r="P6" t="s">
        <v>110</v>
      </c>
      <c r="Q6" t="s">
        <v>112</v>
      </c>
      <c r="R6" t="s">
        <v>110</v>
      </c>
      <c r="S6" t="s">
        <v>110</v>
      </c>
      <c r="W6" t="s">
        <v>156</v>
      </c>
      <c r="AA6" t="s">
        <v>156</v>
      </c>
      <c r="AB6" t="s">
        <v>176</v>
      </c>
    </row>
    <row r="7" spans="1:133" x14ac:dyDescent="0.3">
      <c r="A7" s="4" t="s">
        <v>68</v>
      </c>
      <c r="B7" t="s">
        <v>112</v>
      </c>
      <c r="C7" t="s">
        <v>112</v>
      </c>
      <c r="D7" t="s">
        <v>113</v>
      </c>
      <c r="P7" t="s">
        <v>110</v>
      </c>
      <c r="Q7" t="s">
        <v>112</v>
      </c>
      <c r="W7" t="s">
        <v>155</v>
      </c>
      <c r="AA7" t="s">
        <v>157</v>
      </c>
      <c r="AB7" t="s">
        <v>176</v>
      </c>
    </row>
    <row r="8" spans="1:133" x14ac:dyDescent="0.3">
      <c r="A8" s="4" t="s">
        <v>69</v>
      </c>
      <c r="B8" t="s">
        <v>112</v>
      </c>
      <c r="C8" t="s">
        <v>112</v>
      </c>
      <c r="D8" t="s">
        <v>113</v>
      </c>
      <c r="P8" t="s">
        <v>110</v>
      </c>
      <c r="Q8" t="s">
        <v>112</v>
      </c>
      <c r="W8" t="s">
        <v>155</v>
      </c>
      <c r="AA8" t="s">
        <v>157</v>
      </c>
    </row>
    <row r="9" spans="1:133" x14ac:dyDescent="0.3">
      <c r="A9" s="4" t="s">
        <v>70</v>
      </c>
      <c r="B9" s="4" t="s">
        <v>112</v>
      </c>
      <c r="C9" t="s">
        <v>112</v>
      </c>
      <c r="D9" t="s">
        <v>113</v>
      </c>
      <c r="P9" t="s">
        <v>111</v>
      </c>
      <c r="Q9" t="s">
        <v>112</v>
      </c>
      <c r="W9" t="s">
        <v>155</v>
      </c>
      <c r="AA9" t="s">
        <v>157</v>
      </c>
    </row>
    <row r="10" spans="1:133" x14ac:dyDescent="0.3">
      <c r="A10" s="4" t="s">
        <v>71</v>
      </c>
      <c r="B10" t="s">
        <v>112</v>
      </c>
      <c r="C10" t="s">
        <v>112</v>
      </c>
      <c r="D10" s="5" t="s">
        <v>177</v>
      </c>
      <c r="E10" s="5" t="s">
        <v>177</v>
      </c>
      <c r="F10" s="5" t="s">
        <v>177</v>
      </c>
      <c r="G10" s="5" t="s">
        <v>177</v>
      </c>
      <c r="H10" s="5" t="s">
        <v>177</v>
      </c>
      <c r="I10" s="5" t="s">
        <v>178</v>
      </c>
      <c r="J10" s="5" t="s">
        <v>112</v>
      </c>
      <c r="K10" s="5" t="s">
        <v>177</v>
      </c>
      <c r="L10" s="5" t="s">
        <v>177</v>
      </c>
      <c r="M10" s="5" t="s">
        <v>177</v>
      </c>
      <c r="N10" s="5" t="s">
        <v>177</v>
      </c>
      <c r="O10" s="5" t="s">
        <v>177</v>
      </c>
      <c r="P10" t="s">
        <v>178</v>
      </c>
      <c r="Q10" t="s">
        <v>159</v>
      </c>
      <c r="R10" t="s">
        <v>177</v>
      </c>
      <c r="S10" t="s">
        <v>177</v>
      </c>
      <c r="T10" t="s">
        <v>177</v>
      </c>
      <c r="U10" t="s">
        <v>177</v>
      </c>
      <c r="V10" t="s">
        <v>178</v>
      </c>
      <c r="W10" t="s">
        <v>155</v>
      </c>
      <c r="AA10" t="s">
        <v>157</v>
      </c>
    </row>
    <row r="11" spans="1:133" x14ac:dyDescent="0.3">
      <c r="A11" s="4" t="s">
        <v>72</v>
      </c>
      <c r="B11" t="s">
        <v>108</v>
      </c>
      <c r="C11" t="s">
        <v>108</v>
      </c>
      <c r="D11" t="s">
        <v>110</v>
      </c>
      <c r="I11" t="s">
        <v>111</v>
      </c>
      <c r="P11" t="s">
        <v>111</v>
      </c>
      <c r="Q11" t="s">
        <v>154</v>
      </c>
      <c r="R11" t="s">
        <v>154</v>
      </c>
      <c r="S11" t="s">
        <v>154</v>
      </c>
      <c r="T11" t="s">
        <v>154</v>
      </c>
      <c r="U11" t="s">
        <v>119</v>
      </c>
      <c r="V11" t="s">
        <v>119</v>
      </c>
      <c r="W11" t="s">
        <v>176</v>
      </c>
      <c r="Y11" t="s">
        <v>176</v>
      </c>
      <c r="AA11" t="s">
        <v>176</v>
      </c>
    </row>
    <row r="12" spans="1:133" x14ac:dyDescent="0.3">
      <c r="A12" s="4" t="s">
        <v>73</v>
      </c>
      <c r="B12" t="s">
        <v>109</v>
      </c>
      <c r="C12" t="s">
        <v>108</v>
      </c>
      <c r="J12" t="s">
        <v>114</v>
      </c>
      <c r="Q12" t="s">
        <v>154</v>
      </c>
      <c r="R12" t="s">
        <v>114</v>
      </c>
      <c r="S12" t="s">
        <v>114</v>
      </c>
      <c r="W12" t="s">
        <v>176</v>
      </c>
      <c r="AA12" t="s">
        <v>176</v>
      </c>
    </row>
    <row r="13" spans="1:133" x14ac:dyDescent="0.3">
      <c r="A13" s="4" t="s">
        <v>74</v>
      </c>
      <c r="B13" s="5" t="s">
        <v>112</v>
      </c>
      <c r="C13" t="s">
        <v>118</v>
      </c>
      <c r="D13" t="s">
        <v>110</v>
      </c>
      <c r="J13" t="s">
        <v>112</v>
      </c>
      <c r="L13" t="s">
        <v>110</v>
      </c>
      <c r="Q13" t="s">
        <v>114</v>
      </c>
      <c r="R13" t="s">
        <v>114</v>
      </c>
      <c r="S13" t="s">
        <v>114</v>
      </c>
      <c r="W13" t="s">
        <v>154</v>
      </c>
      <c r="X13" t="s">
        <v>154</v>
      </c>
      <c r="Y13" t="s">
        <v>154</v>
      </c>
      <c r="AA13" t="s">
        <v>154</v>
      </c>
    </row>
    <row r="14" spans="1:133" x14ac:dyDescent="0.3">
      <c r="A14" s="4" t="s">
        <v>75</v>
      </c>
      <c r="B14" t="s">
        <v>112</v>
      </c>
      <c r="E14" t="s">
        <v>110</v>
      </c>
      <c r="Q14" t="s">
        <v>112</v>
      </c>
      <c r="W14" t="s">
        <v>154</v>
      </c>
      <c r="AA14" t="s">
        <v>154</v>
      </c>
      <c r="AG14" t="s">
        <v>176</v>
      </c>
    </row>
    <row r="15" spans="1:133" x14ac:dyDescent="0.3">
      <c r="A15" s="4" t="s">
        <v>76</v>
      </c>
      <c r="B15" t="s">
        <v>112</v>
      </c>
      <c r="F15" t="s">
        <v>110</v>
      </c>
      <c r="Q15" t="s">
        <v>112</v>
      </c>
      <c r="S15" t="s">
        <v>110</v>
      </c>
      <c r="W15" t="s">
        <v>155</v>
      </c>
      <c r="X15" t="s">
        <v>157</v>
      </c>
      <c r="Y15" t="s">
        <v>157</v>
      </c>
      <c r="Z15" t="s">
        <v>157</v>
      </c>
      <c r="AA15" t="s">
        <v>157</v>
      </c>
    </row>
    <row r="16" spans="1:133" x14ac:dyDescent="0.3">
      <c r="A16" s="4" t="s">
        <v>77</v>
      </c>
      <c r="B16" t="s">
        <v>112</v>
      </c>
      <c r="G16" t="s">
        <v>111</v>
      </c>
      <c r="L16" t="s">
        <v>113</v>
      </c>
      <c r="Q16" t="s">
        <v>112</v>
      </c>
      <c r="U16" t="s">
        <v>110</v>
      </c>
      <c r="W16" t="s">
        <v>155</v>
      </c>
      <c r="Z16" t="s">
        <v>157</v>
      </c>
    </row>
    <row r="17" spans="1:33" x14ac:dyDescent="0.3">
      <c r="A17" s="4" t="s">
        <v>78</v>
      </c>
      <c r="B17" t="s">
        <v>112</v>
      </c>
      <c r="H17" t="s">
        <v>111</v>
      </c>
      <c r="L17" t="s">
        <v>113</v>
      </c>
      <c r="Q17" t="s">
        <v>112</v>
      </c>
      <c r="U17" t="s">
        <v>111</v>
      </c>
      <c r="W17" t="s">
        <v>155</v>
      </c>
    </row>
    <row r="18" spans="1:33" x14ac:dyDescent="0.3">
      <c r="A18" s="4" t="s">
        <v>79</v>
      </c>
      <c r="B18" t="s">
        <v>112</v>
      </c>
      <c r="C18" t="s">
        <v>112</v>
      </c>
      <c r="D18" t="s">
        <v>177</v>
      </c>
      <c r="E18" t="s">
        <v>177</v>
      </c>
      <c r="F18" t="s">
        <v>177</v>
      </c>
      <c r="G18" t="s">
        <v>177</v>
      </c>
      <c r="H18" t="s">
        <v>177</v>
      </c>
      <c r="I18" s="5" t="s">
        <v>178</v>
      </c>
      <c r="J18" t="s">
        <v>112</v>
      </c>
      <c r="K18" s="5" t="s">
        <v>177</v>
      </c>
      <c r="L18" s="5" t="s">
        <v>177</v>
      </c>
      <c r="M18" s="5" t="s">
        <v>177</v>
      </c>
      <c r="N18" s="5" t="s">
        <v>177</v>
      </c>
      <c r="O18" s="5" t="s">
        <v>177</v>
      </c>
      <c r="P18" t="s">
        <v>178</v>
      </c>
      <c r="Q18" t="s">
        <v>159</v>
      </c>
      <c r="R18" t="s">
        <v>177</v>
      </c>
      <c r="S18" t="s">
        <v>177</v>
      </c>
      <c r="T18" t="s">
        <v>177</v>
      </c>
      <c r="U18" t="s">
        <v>177</v>
      </c>
      <c r="V18" t="s">
        <v>178</v>
      </c>
      <c r="W18" t="s">
        <v>155</v>
      </c>
    </row>
    <row r="19" spans="1:33" x14ac:dyDescent="0.3">
      <c r="A19" s="4" t="s">
        <v>80</v>
      </c>
      <c r="B19" t="s">
        <v>108</v>
      </c>
      <c r="I19" t="s">
        <v>111</v>
      </c>
      <c r="J19" t="s">
        <v>114</v>
      </c>
      <c r="K19" t="s">
        <v>110</v>
      </c>
      <c r="Q19" t="s">
        <v>154</v>
      </c>
      <c r="R19" t="s">
        <v>154</v>
      </c>
      <c r="S19" t="s">
        <v>154</v>
      </c>
      <c r="W19" t="s">
        <v>176</v>
      </c>
    </row>
    <row r="20" spans="1:33" x14ac:dyDescent="0.3">
      <c r="A20" s="4" t="s">
        <v>81</v>
      </c>
      <c r="B20" t="s">
        <v>118</v>
      </c>
      <c r="C20" t="s">
        <v>108</v>
      </c>
      <c r="J20" t="s">
        <v>114</v>
      </c>
      <c r="K20" t="s">
        <v>110</v>
      </c>
      <c r="Q20" t="s">
        <v>156</v>
      </c>
      <c r="R20" t="s">
        <v>114</v>
      </c>
      <c r="W20" t="s">
        <v>176</v>
      </c>
    </row>
    <row r="21" spans="1:33" x14ac:dyDescent="0.3">
      <c r="A21" s="4" t="s">
        <v>82</v>
      </c>
      <c r="B21" s="5" t="s">
        <v>118</v>
      </c>
      <c r="Q21" t="s">
        <v>112</v>
      </c>
      <c r="W21" t="s">
        <v>155</v>
      </c>
      <c r="AB21" t="s">
        <v>176</v>
      </c>
    </row>
    <row r="22" spans="1:33" x14ac:dyDescent="0.3">
      <c r="A22" s="4" t="s">
        <v>83</v>
      </c>
      <c r="B22" t="s">
        <v>119</v>
      </c>
      <c r="Q22" t="s">
        <v>112</v>
      </c>
    </row>
    <row r="23" spans="1:33" x14ac:dyDescent="0.3">
      <c r="A23" s="4" t="s">
        <v>84</v>
      </c>
      <c r="B23" t="s">
        <v>119</v>
      </c>
      <c r="Q23" t="s">
        <v>112</v>
      </c>
      <c r="Z23" t="s">
        <v>157</v>
      </c>
    </row>
    <row r="24" spans="1:33" x14ac:dyDescent="0.3">
      <c r="A24" s="4" t="s">
        <v>85</v>
      </c>
      <c r="B24" t="s">
        <v>119</v>
      </c>
      <c r="Q24" t="s">
        <v>112</v>
      </c>
    </row>
    <row r="25" spans="1:33" x14ac:dyDescent="0.3">
      <c r="A25" s="4" t="s">
        <v>86</v>
      </c>
      <c r="B25" t="s">
        <v>119</v>
      </c>
      <c r="C25" t="s">
        <v>112</v>
      </c>
      <c r="D25" t="s">
        <v>177</v>
      </c>
      <c r="E25" t="s">
        <v>177</v>
      </c>
      <c r="F25" t="s">
        <v>177</v>
      </c>
      <c r="G25" t="s">
        <v>177</v>
      </c>
      <c r="H25" t="s">
        <v>177</v>
      </c>
      <c r="I25" s="5" t="s">
        <v>178</v>
      </c>
      <c r="Q25" t="s">
        <v>159</v>
      </c>
      <c r="R25" t="s">
        <v>177</v>
      </c>
      <c r="S25" t="s">
        <v>177</v>
      </c>
      <c r="T25" t="s">
        <v>177</v>
      </c>
      <c r="U25" t="s">
        <v>177</v>
      </c>
      <c r="V25" t="s">
        <v>178</v>
      </c>
    </row>
    <row r="26" spans="1:33" x14ac:dyDescent="0.3">
      <c r="A26" s="4" t="s">
        <v>87</v>
      </c>
      <c r="B26" t="s">
        <v>108</v>
      </c>
      <c r="C26" t="s">
        <v>108</v>
      </c>
      <c r="D26" t="s">
        <v>110</v>
      </c>
      <c r="E26" t="s">
        <v>110</v>
      </c>
      <c r="F26" t="s">
        <v>110</v>
      </c>
      <c r="G26" t="s">
        <v>110</v>
      </c>
      <c r="H26" t="s">
        <v>111</v>
      </c>
      <c r="I26" t="s">
        <v>111</v>
      </c>
      <c r="J26" t="s">
        <v>114</v>
      </c>
      <c r="K26" t="s">
        <v>110</v>
      </c>
      <c r="Q26" t="s">
        <v>154</v>
      </c>
      <c r="R26" t="s">
        <v>154</v>
      </c>
      <c r="S26" t="s">
        <v>154</v>
      </c>
      <c r="T26" t="s">
        <v>154</v>
      </c>
      <c r="U26" t="s">
        <v>154</v>
      </c>
      <c r="V26" t="s">
        <v>154</v>
      </c>
      <c r="W26" t="s">
        <v>176</v>
      </c>
    </row>
    <row r="27" spans="1:33" x14ac:dyDescent="0.3">
      <c r="A27" s="4" t="s">
        <v>88</v>
      </c>
      <c r="B27" t="s">
        <v>118</v>
      </c>
      <c r="J27" t="s">
        <v>114</v>
      </c>
      <c r="Q27" t="s">
        <v>154</v>
      </c>
      <c r="R27" t="s">
        <v>156</v>
      </c>
      <c r="AG27" t="s">
        <v>176</v>
      </c>
    </row>
    <row r="28" spans="1:33" x14ac:dyDescent="0.3">
      <c r="A28" s="4" t="s">
        <v>89</v>
      </c>
      <c r="B28" t="s">
        <v>118</v>
      </c>
      <c r="J28" t="s">
        <v>119</v>
      </c>
      <c r="Q28" t="s">
        <v>112</v>
      </c>
    </row>
    <row r="29" spans="1:33" x14ac:dyDescent="0.3">
      <c r="A29" s="4" t="s">
        <v>90</v>
      </c>
      <c r="B29" t="s">
        <v>118</v>
      </c>
      <c r="Q29" t="s">
        <v>112</v>
      </c>
      <c r="U29" t="s">
        <v>110</v>
      </c>
      <c r="AF29" t="s">
        <v>176</v>
      </c>
    </row>
    <row r="30" spans="1:33" x14ac:dyDescent="0.3">
      <c r="A30" s="4" t="s">
        <v>91</v>
      </c>
      <c r="B30" t="s">
        <v>118</v>
      </c>
      <c r="Q30" t="s">
        <v>112</v>
      </c>
    </row>
    <row r="31" spans="1:33" x14ac:dyDescent="0.3">
      <c r="A31" s="4" t="s">
        <v>92</v>
      </c>
      <c r="B31" t="s">
        <v>118</v>
      </c>
      <c r="Q31" t="s">
        <v>155</v>
      </c>
      <c r="V31" t="s">
        <v>178</v>
      </c>
      <c r="W31" t="s">
        <v>176</v>
      </c>
    </row>
    <row r="32" spans="1:33" x14ac:dyDescent="0.3">
      <c r="A32" s="4" t="s">
        <v>93</v>
      </c>
      <c r="B32" t="s">
        <v>108</v>
      </c>
      <c r="N32" t="s">
        <v>110</v>
      </c>
      <c r="Q32" t="s">
        <v>176</v>
      </c>
    </row>
    <row r="33" spans="1:37" x14ac:dyDescent="0.3">
      <c r="A33" s="4" t="s">
        <v>94</v>
      </c>
      <c r="B33" t="s">
        <v>108</v>
      </c>
      <c r="C33" t="s">
        <v>108</v>
      </c>
      <c r="Q33" t="s">
        <v>176</v>
      </c>
      <c r="W33" t="s">
        <v>176</v>
      </c>
    </row>
    <row r="34" spans="1:37" x14ac:dyDescent="0.3">
      <c r="A34" s="4" t="s">
        <v>95</v>
      </c>
      <c r="B34" t="s">
        <v>108</v>
      </c>
      <c r="Q34" t="s">
        <v>176</v>
      </c>
      <c r="X34" t="s">
        <v>176</v>
      </c>
    </row>
    <row r="35" spans="1:37" x14ac:dyDescent="0.3">
      <c r="A35" s="4" t="s">
        <v>96</v>
      </c>
      <c r="B35" t="s">
        <v>108</v>
      </c>
      <c r="Q35" t="s">
        <v>155</v>
      </c>
    </row>
    <row r="36" spans="1:37" x14ac:dyDescent="0.3">
      <c r="A36" s="4" t="s">
        <v>97</v>
      </c>
      <c r="B36" t="s">
        <v>108</v>
      </c>
      <c r="Q36" t="s">
        <v>155</v>
      </c>
      <c r="AA36" t="s">
        <v>176</v>
      </c>
    </row>
    <row r="37" spans="1:37" x14ac:dyDescent="0.3">
      <c r="A37" s="4" t="s">
        <v>98</v>
      </c>
      <c r="B37" t="s">
        <v>108</v>
      </c>
      <c r="Q37" t="s">
        <v>176</v>
      </c>
    </row>
    <row r="38" spans="1:37" x14ac:dyDescent="0.3">
      <c r="A38" s="4" t="s">
        <v>99</v>
      </c>
      <c r="B38" t="s">
        <v>108</v>
      </c>
      <c r="Q38" t="s">
        <v>176</v>
      </c>
      <c r="AG38" t="s">
        <v>176</v>
      </c>
    </row>
    <row r="39" spans="1:37" x14ac:dyDescent="0.3">
      <c r="A39" s="4" t="s">
        <v>100</v>
      </c>
      <c r="B39" t="s">
        <v>108</v>
      </c>
      <c r="Q39" t="s">
        <v>176</v>
      </c>
      <c r="AF39" t="s">
        <v>176</v>
      </c>
      <c r="AG39" t="s">
        <v>176</v>
      </c>
    </row>
    <row r="40" spans="1:37" x14ac:dyDescent="0.3">
      <c r="A40" s="4" t="s">
        <v>101</v>
      </c>
      <c r="B40" t="s">
        <v>108</v>
      </c>
      <c r="Q40" t="s">
        <v>155</v>
      </c>
      <c r="W40" t="s">
        <v>155</v>
      </c>
      <c r="AE40" t="s">
        <v>176</v>
      </c>
    </row>
    <row r="41" spans="1:37" x14ac:dyDescent="0.3">
      <c r="A41" s="4" t="s">
        <v>102</v>
      </c>
      <c r="B41" t="s">
        <v>108</v>
      </c>
      <c r="C41" t="s">
        <v>108</v>
      </c>
      <c r="D41" t="s">
        <v>110</v>
      </c>
      <c r="E41" t="s">
        <v>110</v>
      </c>
      <c r="F41" t="s">
        <v>110</v>
      </c>
      <c r="G41" t="s">
        <v>111</v>
      </c>
      <c r="H41" t="s">
        <v>111</v>
      </c>
      <c r="I41" t="s">
        <v>111</v>
      </c>
      <c r="J41" t="s">
        <v>114</v>
      </c>
      <c r="K41" t="s">
        <v>110</v>
      </c>
      <c r="Q41" t="s">
        <v>176</v>
      </c>
      <c r="AF41" t="s">
        <v>176</v>
      </c>
    </row>
    <row r="42" spans="1:37" x14ac:dyDescent="0.3">
      <c r="A42" s="4" t="s">
        <v>103</v>
      </c>
      <c r="B42" t="s">
        <v>108</v>
      </c>
      <c r="Q42" t="s">
        <v>176</v>
      </c>
      <c r="AG42" t="s">
        <v>176</v>
      </c>
    </row>
    <row r="43" spans="1:37" x14ac:dyDescent="0.3">
      <c r="A43" s="4" t="s">
        <v>104</v>
      </c>
      <c r="B43" t="s">
        <v>108</v>
      </c>
      <c r="Q43" t="s">
        <v>176</v>
      </c>
      <c r="AH43" t="s">
        <v>176</v>
      </c>
    </row>
    <row r="44" spans="1:37" x14ac:dyDescent="0.3">
      <c r="A44" s="4" t="s">
        <v>105</v>
      </c>
      <c r="B44" t="s">
        <v>108</v>
      </c>
      <c r="Q44" t="s">
        <v>176</v>
      </c>
      <c r="AI44" t="s">
        <v>176</v>
      </c>
    </row>
    <row r="45" spans="1:37" x14ac:dyDescent="0.3">
      <c r="A45" s="4" t="s">
        <v>106</v>
      </c>
      <c r="B45" t="s">
        <v>108</v>
      </c>
      <c r="Q45" t="s">
        <v>176</v>
      </c>
      <c r="AJ45" t="s">
        <v>176</v>
      </c>
    </row>
    <row r="46" spans="1:37" x14ac:dyDescent="0.3">
      <c r="A46" s="4" t="s">
        <v>107</v>
      </c>
      <c r="B46" t="s">
        <v>108</v>
      </c>
      <c r="I46" t="s">
        <v>111</v>
      </c>
      <c r="J46" t="s">
        <v>114</v>
      </c>
      <c r="P46" t="s">
        <v>111</v>
      </c>
      <c r="Q46" t="s">
        <v>176</v>
      </c>
      <c r="AK46" t="s">
        <v>176</v>
      </c>
    </row>
    <row r="47" spans="1:37" x14ac:dyDescent="0.3">
      <c r="A47" s="4"/>
    </row>
    <row r="48" spans="1:37" x14ac:dyDescent="0.3">
      <c r="A48" s="4"/>
    </row>
    <row r="49" spans="1:37" x14ac:dyDescent="0.3">
      <c r="A49" s="4"/>
    </row>
    <row r="50" spans="1:37" x14ac:dyDescent="0.3">
      <c r="A50">
        <v>2</v>
      </c>
      <c r="B50" s="4" t="s">
        <v>72</v>
      </c>
      <c r="C50" s="4" t="s">
        <v>73</v>
      </c>
      <c r="D50" s="4" t="s">
        <v>74</v>
      </c>
      <c r="E50" s="4" t="s">
        <v>75</v>
      </c>
      <c r="F50" s="4" t="s">
        <v>76</v>
      </c>
      <c r="G50" s="4" t="s">
        <v>77</v>
      </c>
      <c r="H50" s="4" t="s">
        <v>78</v>
      </c>
      <c r="I50" s="4" t="s">
        <v>79</v>
      </c>
      <c r="J50" s="4" t="s">
        <v>80</v>
      </c>
      <c r="K50" s="4" t="s">
        <v>81</v>
      </c>
      <c r="L50" s="4" t="s">
        <v>82</v>
      </c>
      <c r="M50" s="4" t="s">
        <v>83</v>
      </c>
      <c r="N50" s="4" t="s">
        <v>84</v>
      </c>
      <c r="O50" s="4" t="s">
        <v>85</v>
      </c>
      <c r="P50" s="4" t="s">
        <v>86</v>
      </c>
      <c r="Q50" s="4" t="s">
        <v>87</v>
      </c>
      <c r="R50" s="4" t="s">
        <v>88</v>
      </c>
      <c r="S50" s="4" t="s">
        <v>89</v>
      </c>
      <c r="T50" s="4" t="s">
        <v>90</v>
      </c>
      <c r="U50" s="4" t="s">
        <v>91</v>
      </c>
      <c r="V50" s="4" t="s">
        <v>92</v>
      </c>
      <c r="W50" s="4" t="s">
        <v>93</v>
      </c>
      <c r="X50" s="4" t="s">
        <v>94</v>
      </c>
      <c r="Y50" s="4" t="s">
        <v>95</v>
      </c>
      <c r="Z50" s="4" t="s">
        <v>96</v>
      </c>
      <c r="AA50" s="4" t="s">
        <v>97</v>
      </c>
      <c r="AB50" s="4" t="s">
        <v>98</v>
      </c>
      <c r="AC50" s="4" t="s">
        <v>99</v>
      </c>
      <c r="AD50" s="4" t="s">
        <v>100</v>
      </c>
      <c r="AE50" s="4" t="s">
        <v>101</v>
      </c>
      <c r="AF50" s="4" t="s">
        <v>102</v>
      </c>
      <c r="AG50" s="4" t="s">
        <v>103</v>
      </c>
      <c r="AH50" s="4" t="s">
        <v>104</v>
      </c>
      <c r="AI50" s="4" t="s">
        <v>105</v>
      </c>
      <c r="AJ50" s="4" t="s">
        <v>106</v>
      </c>
      <c r="AK50" s="4" t="s">
        <v>107</v>
      </c>
    </row>
    <row r="51" spans="1:37" x14ac:dyDescent="0.3">
      <c r="A51" s="4" t="s">
        <v>48</v>
      </c>
    </row>
    <row r="52" spans="1:37" x14ac:dyDescent="0.3">
      <c r="A52" s="4" t="s">
        <v>49</v>
      </c>
    </row>
    <row r="53" spans="1:37" x14ac:dyDescent="0.3">
      <c r="A53" s="4" t="s">
        <v>50</v>
      </c>
      <c r="B53" s="4"/>
    </row>
    <row r="54" spans="1:37" x14ac:dyDescent="0.3">
      <c r="A54" s="4" t="s">
        <v>66</v>
      </c>
    </row>
    <row r="55" spans="1:37" x14ac:dyDescent="0.3">
      <c r="A55" s="4" t="s">
        <v>67</v>
      </c>
    </row>
    <row r="56" spans="1:37" x14ac:dyDescent="0.3">
      <c r="A56" s="4" t="s">
        <v>68</v>
      </c>
    </row>
    <row r="57" spans="1:37" x14ac:dyDescent="0.3">
      <c r="A57" s="4" t="s">
        <v>69</v>
      </c>
    </row>
    <row r="58" spans="1:37" x14ac:dyDescent="0.3">
      <c r="A58" s="4" t="s">
        <v>70</v>
      </c>
      <c r="B58" s="4"/>
    </row>
    <row r="59" spans="1:37" x14ac:dyDescent="0.3">
      <c r="A59" s="4" t="s">
        <v>71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37" x14ac:dyDescent="0.3">
      <c r="A60" s="4" t="s">
        <v>72</v>
      </c>
    </row>
    <row r="61" spans="1:37" x14ac:dyDescent="0.3">
      <c r="A61" s="4" t="s">
        <v>73</v>
      </c>
    </row>
    <row r="62" spans="1:37" x14ac:dyDescent="0.3">
      <c r="A62" s="4" t="s">
        <v>74</v>
      </c>
      <c r="B62" s="5"/>
    </row>
    <row r="63" spans="1:37" x14ac:dyDescent="0.3">
      <c r="A63" s="4" t="s">
        <v>75</v>
      </c>
    </row>
    <row r="64" spans="1:37" x14ac:dyDescent="0.3">
      <c r="A64" s="4" t="s">
        <v>76</v>
      </c>
    </row>
    <row r="65" spans="1:15" x14ac:dyDescent="0.3">
      <c r="A65" s="4" t="s">
        <v>77</v>
      </c>
    </row>
    <row r="66" spans="1:15" x14ac:dyDescent="0.3">
      <c r="A66" s="4" t="s">
        <v>78</v>
      </c>
    </row>
    <row r="67" spans="1:15" x14ac:dyDescent="0.3">
      <c r="A67" s="4" t="s">
        <v>79</v>
      </c>
      <c r="I67" s="5"/>
      <c r="K67" s="5"/>
      <c r="L67" s="5"/>
      <c r="M67" s="5"/>
      <c r="N67" s="5"/>
      <c r="O67" s="5"/>
    </row>
    <row r="68" spans="1:15" x14ac:dyDescent="0.3">
      <c r="A68" s="4" t="s">
        <v>80</v>
      </c>
    </row>
    <row r="69" spans="1:15" x14ac:dyDescent="0.3">
      <c r="A69" s="4" t="s">
        <v>81</v>
      </c>
    </row>
    <row r="70" spans="1:15" x14ac:dyDescent="0.3">
      <c r="A70" s="4" t="s">
        <v>82</v>
      </c>
      <c r="B70" s="5"/>
    </row>
    <row r="71" spans="1:15" x14ac:dyDescent="0.3">
      <c r="A71" s="4" t="s">
        <v>83</v>
      </c>
    </row>
    <row r="72" spans="1:15" x14ac:dyDescent="0.3">
      <c r="A72" s="4" t="s">
        <v>84</v>
      </c>
    </row>
    <row r="73" spans="1:15" x14ac:dyDescent="0.3">
      <c r="A73" s="4" t="s">
        <v>85</v>
      </c>
    </row>
    <row r="74" spans="1:15" x14ac:dyDescent="0.3">
      <c r="A74" s="4" t="s">
        <v>86</v>
      </c>
      <c r="I74" s="5"/>
    </row>
    <row r="75" spans="1:15" x14ac:dyDescent="0.3">
      <c r="A75" s="4" t="s">
        <v>87</v>
      </c>
    </row>
    <row r="76" spans="1:15" x14ac:dyDescent="0.3">
      <c r="A76" s="4" t="s">
        <v>88</v>
      </c>
    </row>
    <row r="77" spans="1:15" x14ac:dyDescent="0.3">
      <c r="A77" s="4" t="s">
        <v>89</v>
      </c>
    </row>
    <row r="78" spans="1:15" x14ac:dyDescent="0.3">
      <c r="A78" s="4" t="s">
        <v>90</v>
      </c>
    </row>
    <row r="79" spans="1:15" x14ac:dyDescent="0.3">
      <c r="A79" s="4" t="s">
        <v>91</v>
      </c>
    </row>
    <row r="80" spans="1:15" x14ac:dyDescent="0.3">
      <c r="A80" s="4" t="s">
        <v>92</v>
      </c>
    </row>
    <row r="81" spans="1:1" x14ac:dyDescent="0.3">
      <c r="A81" s="4" t="s">
        <v>93</v>
      </c>
    </row>
    <row r="82" spans="1:1" x14ac:dyDescent="0.3">
      <c r="A82" s="4" t="s">
        <v>94</v>
      </c>
    </row>
    <row r="83" spans="1:1" x14ac:dyDescent="0.3">
      <c r="A83" s="4" t="s">
        <v>95</v>
      </c>
    </row>
    <row r="84" spans="1:1" x14ac:dyDescent="0.3">
      <c r="A84" s="4" t="s">
        <v>96</v>
      </c>
    </row>
    <row r="85" spans="1:1" x14ac:dyDescent="0.3">
      <c r="A85" s="4" t="s">
        <v>97</v>
      </c>
    </row>
    <row r="86" spans="1:1" x14ac:dyDescent="0.3">
      <c r="A86" s="4" t="s">
        <v>98</v>
      </c>
    </row>
    <row r="87" spans="1:1" x14ac:dyDescent="0.3">
      <c r="A87" s="4" t="s">
        <v>99</v>
      </c>
    </row>
    <row r="88" spans="1:1" x14ac:dyDescent="0.3">
      <c r="A88" s="4" t="s">
        <v>100</v>
      </c>
    </row>
    <row r="89" spans="1:1" x14ac:dyDescent="0.3">
      <c r="A89" s="4" t="s">
        <v>101</v>
      </c>
    </row>
    <row r="90" spans="1:1" x14ac:dyDescent="0.3">
      <c r="A90" s="4" t="s">
        <v>102</v>
      </c>
    </row>
    <row r="91" spans="1:1" x14ac:dyDescent="0.3">
      <c r="A91" s="4" t="s">
        <v>103</v>
      </c>
    </row>
    <row r="92" spans="1:1" x14ac:dyDescent="0.3">
      <c r="A92" s="4" t="s">
        <v>104</v>
      </c>
    </row>
    <row r="93" spans="1:1" x14ac:dyDescent="0.3">
      <c r="A93" s="4" t="s">
        <v>105</v>
      </c>
    </row>
    <row r="94" spans="1:1" x14ac:dyDescent="0.3">
      <c r="A94" s="4" t="s">
        <v>106</v>
      </c>
    </row>
    <row r="95" spans="1:1" x14ac:dyDescent="0.3">
      <c r="A95" s="4" t="s">
        <v>107</v>
      </c>
    </row>
    <row r="97" spans="1:37" x14ac:dyDescent="0.3">
      <c r="A97" s="4"/>
    </row>
    <row r="99" spans="1:37" x14ac:dyDescent="0.3">
      <c r="A99">
        <v>3</v>
      </c>
      <c r="B99" s="4" t="s">
        <v>72</v>
      </c>
      <c r="C99" s="4" t="s">
        <v>73</v>
      </c>
      <c r="D99" s="4" t="s">
        <v>74</v>
      </c>
      <c r="E99" s="4" t="s">
        <v>75</v>
      </c>
      <c r="F99" s="4" t="s">
        <v>76</v>
      </c>
      <c r="G99" s="4" t="s">
        <v>77</v>
      </c>
      <c r="H99" s="4" t="s">
        <v>78</v>
      </c>
      <c r="I99" s="4" t="s">
        <v>79</v>
      </c>
      <c r="J99" s="4" t="s">
        <v>80</v>
      </c>
      <c r="K99" s="4" t="s">
        <v>81</v>
      </c>
      <c r="L99" s="4" t="s">
        <v>82</v>
      </c>
      <c r="M99" s="4" t="s">
        <v>83</v>
      </c>
      <c r="N99" s="4" t="s">
        <v>84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4" t="s">
        <v>90</v>
      </c>
      <c r="U99" s="4" t="s">
        <v>91</v>
      </c>
      <c r="V99" s="4" t="s">
        <v>92</v>
      </c>
      <c r="W99" s="4" t="s">
        <v>93</v>
      </c>
      <c r="X99" s="4" t="s">
        <v>94</v>
      </c>
      <c r="Y99" s="4" t="s">
        <v>95</v>
      </c>
      <c r="Z99" s="4" t="s">
        <v>96</v>
      </c>
      <c r="AA99" s="4" t="s">
        <v>97</v>
      </c>
      <c r="AB99" s="4" t="s">
        <v>98</v>
      </c>
      <c r="AC99" s="4" t="s">
        <v>99</v>
      </c>
      <c r="AD99" s="4" t="s">
        <v>100</v>
      </c>
      <c r="AE99" s="4" t="s">
        <v>101</v>
      </c>
      <c r="AF99" s="4" t="s">
        <v>102</v>
      </c>
      <c r="AG99" s="4" t="s">
        <v>103</v>
      </c>
      <c r="AH99" s="4" t="s">
        <v>104</v>
      </c>
      <c r="AI99" s="4" t="s">
        <v>105</v>
      </c>
      <c r="AJ99" s="4" t="s">
        <v>106</v>
      </c>
      <c r="AK99" s="4" t="s">
        <v>107</v>
      </c>
    </row>
    <row r="100" spans="1:37" x14ac:dyDescent="0.3">
      <c r="A100" s="4" t="s">
        <v>48</v>
      </c>
    </row>
    <row r="101" spans="1:37" x14ac:dyDescent="0.3">
      <c r="A101" s="4" t="s">
        <v>49</v>
      </c>
    </row>
    <row r="102" spans="1:37" x14ac:dyDescent="0.3">
      <c r="A102" s="4" t="s">
        <v>50</v>
      </c>
      <c r="B102" s="4"/>
    </row>
    <row r="103" spans="1:37" x14ac:dyDescent="0.3">
      <c r="A103" s="4" t="s">
        <v>66</v>
      </c>
    </row>
    <row r="104" spans="1:37" x14ac:dyDescent="0.3">
      <c r="A104" s="4" t="s">
        <v>67</v>
      </c>
    </row>
    <row r="105" spans="1:37" x14ac:dyDescent="0.3">
      <c r="A105" s="4" t="s">
        <v>68</v>
      </c>
    </row>
    <row r="106" spans="1:37" x14ac:dyDescent="0.3">
      <c r="A106" s="4" t="s">
        <v>69</v>
      </c>
    </row>
    <row r="107" spans="1:37" x14ac:dyDescent="0.3">
      <c r="A107" s="4" t="s">
        <v>70</v>
      </c>
      <c r="B107" s="4"/>
    </row>
    <row r="108" spans="1:37" x14ac:dyDescent="0.3">
      <c r="A108" s="4" t="s">
        <v>71</v>
      </c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37" x14ac:dyDescent="0.3">
      <c r="A109" s="4" t="s">
        <v>72</v>
      </c>
    </row>
    <row r="110" spans="1:37" x14ac:dyDescent="0.3">
      <c r="A110" s="4" t="s">
        <v>73</v>
      </c>
    </row>
    <row r="111" spans="1:37" x14ac:dyDescent="0.3">
      <c r="A111" s="4" t="s">
        <v>74</v>
      </c>
      <c r="B111" s="5"/>
    </row>
    <row r="112" spans="1:37" x14ac:dyDescent="0.3">
      <c r="A112" s="4" t="s">
        <v>75</v>
      </c>
    </row>
    <row r="113" spans="1:15" x14ac:dyDescent="0.3">
      <c r="A113" s="4" t="s">
        <v>76</v>
      </c>
    </row>
    <row r="114" spans="1:15" x14ac:dyDescent="0.3">
      <c r="A114" s="4" t="s">
        <v>77</v>
      </c>
    </row>
    <row r="115" spans="1:15" x14ac:dyDescent="0.3">
      <c r="A115" s="4" t="s">
        <v>78</v>
      </c>
    </row>
    <row r="116" spans="1:15" x14ac:dyDescent="0.3">
      <c r="A116" s="4" t="s">
        <v>79</v>
      </c>
      <c r="I116" s="5"/>
      <c r="K116" s="5"/>
      <c r="L116" s="5"/>
      <c r="M116" s="5"/>
      <c r="N116" s="5"/>
      <c r="O116" s="5"/>
    </row>
    <row r="117" spans="1:15" x14ac:dyDescent="0.3">
      <c r="A117" s="4" t="s">
        <v>80</v>
      </c>
    </row>
    <row r="118" spans="1:15" x14ac:dyDescent="0.3">
      <c r="A118" s="4" t="s">
        <v>81</v>
      </c>
    </row>
    <row r="119" spans="1:15" x14ac:dyDescent="0.3">
      <c r="A119" s="4" t="s">
        <v>82</v>
      </c>
      <c r="B119" s="5"/>
    </row>
    <row r="120" spans="1:15" x14ac:dyDescent="0.3">
      <c r="A120" s="4" t="s">
        <v>83</v>
      </c>
    </row>
    <row r="121" spans="1:15" x14ac:dyDescent="0.3">
      <c r="A121" s="4" t="s">
        <v>84</v>
      </c>
    </row>
    <row r="122" spans="1:15" x14ac:dyDescent="0.3">
      <c r="A122" s="4" t="s">
        <v>85</v>
      </c>
    </row>
    <row r="123" spans="1:15" x14ac:dyDescent="0.3">
      <c r="A123" s="4" t="s">
        <v>86</v>
      </c>
      <c r="I123" s="5"/>
    </row>
    <row r="124" spans="1:15" x14ac:dyDescent="0.3">
      <c r="A124" s="4" t="s">
        <v>87</v>
      </c>
    </row>
    <row r="125" spans="1:15" x14ac:dyDescent="0.3">
      <c r="A125" s="4" t="s">
        <v>88</v>
      </c>
    </row>
    <row r="126" spans="1:15" x14ac:dyDescent="0.3">
      <c r="A126" s="4" t="s">
        <v>89</v>
      </c>
    </row>
    <row r="127" spans="1:15" x14ac:dyDescent="0.3">
      <c r="A127" s="4" t="s">
        <v>90</v>
      </c>
    </row>
    <row r="128" spans="1:15" x14ac:dyDescent="0.3">
      <c r="A128" s="4" t="s">
        <v>91</v>
      </c>
    </row>
    <row r="129" spans="1:1" x14ac:dyDescent="0.3">
      <c r="A129" s="4" t="s">
        <v>92</v>
      </c>
    </row>
    <row r="130" spans="1:1" x14ac:dyDescent="0.3">
      <c r="A130" s="4" t="s">
        <v>93</v>
      </c>
    </row>
    <row r="131" spans="1:1" x14ac:dyDescent="0.3">
      <c r="A131" s="4" t="s">
        <v>94</v>
      </c>
    </row>
    <row r="132" spans="1:1" x14ac:dyDescent="0.3">
      <c r="A132" s="4" t="s">
        <v>95</v>
      </c>
    </row>
    <row r="133" spans="1:1" x14ac:dyDescent="0.3">
      <c r="A133" s="4" t="s">
        <v>96</v>
      </c>
    </row>
    <row r="134" spans="1:1" x14ac:dyDescent="0.3">
      <c r="A134" s="4" t="s">
        <v>97</v>
      </c>
    </row>
    <row r="135" spans="1:1" x14ac:dyDescent="0.3">
      <c r="A135" s="4" t="s">
        <v>98</v>
      </c>
    </row>
    <row r="136" spans="1:1" x14ac:dyDescent="0.3">
      <c r="A136" s="4" t="s">
        <v>99</v>
      </c>
    </row>
    <row r="137" spans="1:1" x14ac:dyDescent="0.3">
      <c r="A137" s="4" t="s">
        <v>100</v>
      </c>
    </row>
    <row r="138" spans="1:1" x14ac:dyDescent="0.3">
      <c r="A138" s="4" t="s">
        <v>101</v>
      </c>
    </row>
    <row r="139" spans="1:1" x14ac:dyDescent="0.3">
      <c r="A139" s="4" t="s">
        <v>102</v>
      </c>
    </row>
    <row r="140" spans="1:1" x14ac:dyDescent="0.3">
      <c r="A140" s="4" t="s">
        <v>103</v>
      </c>
    </row>
    <row r="141" spans="1:1" x14ac:dyDescent="0.3">
      <c r="A141" s="4" t="s">
        <v>104</v>
      </c>
    </row>
    <row r="142" spans="1:1" x14ac:dyDescent="0.3">
      <c r="A142" s="4" t="s">
        <v>105</v>
      </c>
    </row>
    <row r="143" spans="1:1" x14ac:dyDescent="0.3">
      <c r="A143" s="4" t="s">
        <v>106</v>
      </c>
    </row>
    <row r="144" spans="1:1" x14ac:dyDescent="0.3">
      <c r="A144" s="4" t="s">
        <v>107</v>
      </c>
    </row>
    <row r="145" spans="1:37" x14ac:dyDescent="0.3">
      <c r="A145" s="4"/>
    </row>
    <row r="148" spans="1:37" x14ac:dyDescent="0.3">
      <c r="A148">
        <v>4</v>
      </c>
      <c r="B148" s="4" t="s">
        <v>72</v>
      </c>
      <c r="C148" s="4" t="s">
        <v>73</v>
      </c>
      <c r="D148" s="4" t="s">
        <v>74</v>
      </c>
      <c r="E148" s="4" t="s">
        <v>75</v>
      </c>
      <c r="F148" s="4" t="s">
        <v>76</v>
      </c>
      <c r="G148" s="4" t="s">
        <v>77</v>
      </c>
      <c r="H148" s="4" t="s">
        <v>78</v>
      </c>
      <c r="I148" s="4" t="s">
        <v>79</v>
      </c>
      <c r="J148" s="4" t="s">
        <v>80</v>
      </c>
      <c r="K148" s="4" t="s">
        <v>81</v>
      </c>
      <c r="L148" s="4" t="s">
        <v>82</v>
      </c>
      <c r="M148" s="4" t="s">
        <v>83</v>
      </c>
      <c r="N148" s="4" t="s">
        <v>84</v>
      </c>
      <c r="O148" s="4" t="s">
        <v>85</v>
      </c>
      <c r="P148" s="4" t="s">
        <v>86</v>
      </c>
      <c r="Q148" s="4" t="s">
        <v>87</v>
      </c>
      <c r="R148" s="4" t="s">
        <v>88</v>
      </c>
      <c r="S148" s="4" t="s">
        <v>89</v>
      </c>
      <c r="T148" s="4" t="s">
        <v>90</v>
      </c>
      <c r="U148" s="4" t="s">
        <v>91</v>
      </c>
      <c r="V148" s="4" t="s">
        <v>92</v>
      </c>
      <c r="W148" s="4" t="s">
        <v>93</v>
      </c>
      <c r="X148" s="4" t="s">
        <v>94</v>
      </c>
      <c r="Y148" s="4" t="s">
        <v>95</v>
      </c>
      <c r="Z148" s="4" t="s">
        <v>96</v>
      </c>
      <c r="AA148" s="4" t="s">
        <v>97</v>
      </c>
      <c r="AB148" s="4" t="s">
        <v>98</v>
      </c>
      <c r="AC148" s="4" t="s">
        <v>99</v>
      </c>
      <c r="AD148" s="4" t="s">
        <v>100</v>
      </c>
      <c r="AE148" s="4" t="s">
        <v>101</v>
      </c>
      <c r="AF148" s="4" t="s">
        <v>102</v>
      </c>
      <c r="AG148" s="4" t="s">
        <v>103</v>
      </c>
      <c r="AH148" s="4" t="s">
        <v>104</v>
      </c>
      <c r="AI148" s="4" t="s">
        <v>105</v>
      </c>
      <c r="AJ148" s="4" t="s">
        <v>106</v>
      </c>
      <c r="AK148" s="4" t="s">
        <v>107</v>
      </c>
    </row>
    <row r="149" spans="1:37" x14ac:dyDescent="0.3">
      <c r="A149" s="4" t="s">
        <v>48</v>
      </c>
    </row>
    <row r="150" spans="1:37" x14ac:dyDescent="0.3">
      <c r="A150" s="4" t="s">
        <v>49</v>
      </c>
    </row>
    <row r="151" spans="1:37" x14ac:dyDescent="0.3">
      <c r="A151" s="4" t="s">
        <v>50</v>
      </c>
      <c r="B151" s="4"/>
    </row>
    <row r="152" spans="1:37" x14ac:dyDescent="0.3">
      <c r="A152" s="4" t="s">
        <v>66</v>
      </c>
    </row>
    <row r="153" spans="1:37" x14ac:dyDescent="0.3">
      <c r="A153" s="4" t="s">
        <v>67</v>
      </c>
    </row>
    <row r="154" spans="1:37" x14ac:dyDescent="0.3">
      <c r="A154" s="4" t="s">
        <v>68</v>
      </c>
    </row>
    <row r="155" spans="1:37" x14ac:dyDescent="0.3">
      <c r="A155" s="4" t="s">
        <v>69</v>
      </c>
    </row>
    <row r="156" spans="1:37" x14ac:dyDescent="0.3">
      <c r="A156" s="4" t="s">
        <v>70</v>
      </c>
      <c r="B156" s="4"/>
    </row>
    <row r="157" spans="1:37" x14ac:dyDescent="0.3">
      <c r="A157" s="4" t="s">
        <v>71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37" x14ac:dyDescent="0.3">
      <c r="A158" s="4" t="s">
        <v>72</v>
      </c>
    </row>
    <row r="159" spans="1:37" x14ac:dyDescent="0.3">
      <c r="A159" s="4" t="s">
        <v>73</v>
      </c>
    </row>
    <row r="160" spans="1:37" x14ac:dyDescent="0.3">
      <c r="A160" s="4" t="s">
        <v>74</v>
      </c>
      <c r="B160" s="5"/>
      <c r="R160" t="s">
        <v>163</v>
      </c>
    </row>
    <row r="161" spans="1:15" x14ac:dyDescent="0.3">
      <c r="A161" s="4" t="s">
        <v>75</v>
      </c>
    </row>
    <row r="162" spans="1:15" x14ac:dyDescent="0.3">
      <c r="A162" s="4" t="s">
        <v>76</v>
      </c>
    </row>
    <row r="163" spans="1:15" x14ac:dyDescent="0.3">
      <c r="A163" s="4" t="s">
        <v>77</v>
      </c>
    </row>
    <row r="164" spans="1:15" x14ac:dyDescent="0.3">
      <c r="A164" s="4" t="s">
        <v>78</v>
      </c>
    </row>
    <row r="165" spans="1:15" x14ac:dyDescent="0.3">
      <c r="A165" s="4" t="s">
        <v>79</v>
      </c>
      <c r="I165" s="5"/>
      <c r="K165" s="5"/>
      <c r="L165" s="5"/>
      <c r="M165" s="5"/>
      <c r="N165" s="5"/>
      <c r="O165" s="5"/>
    </row>
    <row r="166" spans="1:15" x14ac:dyDescent="0.3">
      <c r="A166" s="4" t="s">
        <v>80</v>
      </c>
    </row>
    <row r="167" spans="1:15" x14ac:dyDescent="0.3">
      <c r="A167" s="4" t="s">
        <v>81</v>
      </c>
    </row>
    <row r="168" spans="1:15" x14ac:dyDescent="0.3">
      <c r="A168" s="4" t="s">
        <v>82</v>
      </c>
      <c r="B168" s="5"/>
    </row>
    <row r="169" spans="1:15" x14ac:dyDescent="0.3">
      <c r="A169" s="4" t="s">
        <v>83</v>
      </c>
    </row>
    <row r="170" spans="1:15" x14ac:dyDescent="0.3">
      <c r="A170" s="4" t="s">
        <v>84</v>
      </c>
    </row>
    <row r="171" spans="1:15" x14ac:dyDescent="0.3">
      <c r="A171" s="4" t="s">
        <v>85</v>
      </c>
    </row>
    <row r="172" spans="1:15" x14ac:dyDescent="0.3">
      <c r="A172" s="4" t="s">
        <v>86</v>
      </c>
      <c r="I172" s="5"/>
    </row>
    <row r="173" spans="1:15" x14ac:dyDescent="0.3">
      <c r="A173" s="4" t="s">
        <v>87</v>
      </c>
    </row>
    <row r="174" spans="1:15" x14ac:dyDescent="0.3">
      <c r="A174" s="4" t="s">
        <v>88</v>
      </c>
    </row>
    <row r="175" spans="1:15" x14ac:dyDescent="0.3">
      <c r="A175" s="4" t="s">
        <v>89</v>
      </c>
    </row>
    <row r="176" spans="1:15" x14ac:dyDescent="0.3">
      <c r="A176" s="4" t="s">
        <v>90</v>
      </c>
    </row>
    <row r="177" spans="1:23" x14ac:dyDescent="0.3">
      <c r="A177" s="4" t="s">
        <v>91</v>
      </c>
    </row>
    <row r="178" spans="1:23" x14ac:dyDescent="0.3">
      <c r="A178" s="4" t="s">
        <v>92</v>
      </c>
    </row>
    <row r="179" spans="1:23" x14ac:dyDescent="0.3">
      <c r="A179" s="4" t="s">
        <v>93</v>
      </c>
    </row>
    <row r="180" spans="1:23" x14ac:dyDescent="0.3">
      <c r="A180" s="4" t="s">
        <v>94</v>
      </c>
    </row>
    <row r="181" spans="1:23" x14ac:dyDescent="0.3">
      <c r="A181" s="4" t="s">
        <v>95</v>
      </c>
    </row>
    <row r="182" spans="1:23" x14ac:dyDescent="0.3">
      <c r="A182" s="4" t="s">
        <v>96</v>
      </c>
    </row>
    <row r="183" spans="1:23" x14ac:dyDescent="0.3">
      <c r="A183" s="4" t="s">
        <v>97</v>
      </c>
    </row>
    <row r="184" spans="1:23" x14ac:dyDescent="0.3">
      <c r="A184" s="4" t="s">
        <v>98</v>
      </c>
    </row>
    <row r="185" spans="1:23" x14ac:dyDescent="0.3">
      <c r="A185" s="4" t="s">
        <v>99</v>
      </c>
    </row>
    <row r="186" spans="1:23" x14ac:dyDescent="0.3">
      <c r="A186" s="4" t="s">
        <v>100</v>
      </c>
    </row>
    <row r="187" spans="1:23" x14ac:dyDescent="0.3">
      <c r="A187" s="4" t="s">
        <v>101</v>
      </c>
      <c r="W187" t="s">
        <v>155</v>
      </c>
    </row>
    <row r="188" spans="1:23" x14ac:dyDescent="0.3">
      <c r="A188" s="4" t="s">
        <v>102</v>
      </c>
    </row>
    <row r="189" spans="1:23" x14ac:dyDescent="0.3">
      <c r="A189" s="4" t="s">
        <v>103</v>
      </c>
    </row>
    <row r="190" spans="1:23" x14ac:dyDescent="0.3">
      <c r="A190" s="4" t="s">
        <v>104</v>
      </c>
    </row>
    <row r="191" spans="1:23" x14ac:dyDescent="0.3">
      <c r="A191" s="4" t="s">
        <v>105</v>
      </c>
    </row>
    <row r="192" spans="1:23" x14ac:dyDescent="0.3">
      <c r="A192" s="4" t="s">
        <v>106</v>
      </c>
    </row>
    <row r="193" spans="1:37" x14ac:dyDescent="0.3">
      <c r="A193" s="4" t="s">
        <v>107</v>
      </c>
    </row>
    <row r="194" spans="1:37" x14ac:dyDescent="0.3">
      <c r="A194" s="4"/>
    </row>
    <row r="197" spans="1:37" x14ac:dyDescent="0.3">
      <c r="A197">
        <v>5</v>
      </c>
      <c r="B197" s="4" t="s">
        <v>72</v>
      </c>
      <c r="C197" s="4" t="s">
        <v>73</v>
      </c>
      <c r="D197" s="4" t="s">
        <v>74</v>
      </c>
      <c r="E197" s="4" t="s">
        <v>75</v>
      </c>
      <c r="F197" s="4" t="s">
        <v>76</v>
      </c>
      <c r="G197" s="4" t="s">
        <v>77</v>
      </c>
      <c r="H197" s="4" t="s">
        <v>78</v>
      </c>
      <c r="I197" s="4" t="s">
        <v>79</v>
      </c>
      <c r="J197" s="4" t="s">
        <v>80</v>
      </c>
      <c r="K197" s="4" t="s">
        <v>81</v>
      </c>
      <c r="L197" s="4" t="s">
        <v>82</v>
      </c>
      <c r="M197" s="4" t="s">
        <v>83</v>
      </c>
      <c r="N197" s="4" t="s">
        <v>84</v>
      </c>
      <c r="O197" s="4" t="s">
        <v>85</v>
      </c>
      <c r="P197" s="4" t="s">
        <v>86</v>
      </c>
      <c r="Q197" s="4" t="s">
        <v>87</v>
      </c>
      <c r="R197" s="4" t="s">
        <v>88</v>
      </c>
      <c r="S197" s="4" t="s">
        <v>89</v>
      </c>
      <c r="T197" s="4" t="s">
        <v>90</v>
      </c>
      <c r="U197" s="4" t="s">
        <v>91</v>
      </c>
      <c r="V197" s="4" t="s">
        <v>92</v>
      </c>
      <c r="W197" s="4" t="s">
        <v>93</v>
      </c>
      <c r="X197" s="4" t="s">
        <v>94</v>
      </c>
      <c r="Y197" s="4" t="s">
        <v>95</v>
      </c>
      <c r="Z197" s="4" t="s">
        <v>96</v>
      </c>
      <c r="AA197" s="4" t="s">
        <v>97</v>
      </c>
      <c r="AB197" s="4" t="s">
        <v>98</v>
      </c>
      <c r="AC197" s="4" t="s">
        <v>99</v>
      </c>
      <c r="AD197" s="4" t="s">
        <v>100</v>
      </c>
      <c r="AE197" s="4" t="s">
        <v>101</v>
      </c>
      <c r="AF197" s="4" t="s">
        <v>102</v>
      </c>
      <c r="AG197" s="4" t="s">
        <v>103</v>
      </c>
      <c r="AH197" s="4" t="s">
        <v>104</v>
      </c>
      <c r="AI197" s="4" t="s">
        <v>105</v>
      </c>
      <c r="AJ197" s="4" t="s">
        <v>106</v>
      </c>
      <c r="AK197" s="4" t="s">
        <v>107</v>
      </c>
    </row>
    <row r="198" spans="1:37" x14ac:dyDescent="0.3">
      <c r="A198" s="4" t="s">
        <v>48</v>
      </c>
      <c r="B198" t="s">
        <v>176</v>
      </c>
    </row>
    <row r="199" spans="1:37" x14ac:dyDescent="0.3">
      <c r="A199" s="4" t="s">
        <v>49</v>
      </c>
      <c r="B199" t="s">
        <v>154</v>
      </c>
    </row>
    <row r="200" spans="1:37" x14ac:dyDescent="0.3">
      <c r="A200" s="4" t="s">
        <v>50</v>
      </c>
      <c r="B200" s="4" t="s">
        <v>112</v>
      </c>
      <c r="J200" t="s">
        <v>154</v>
      </c>
    </row>
    <row r="201" spans="1:37" x14ac:dyDescent="0.3">
      <c r="A201" s="4" t="s">
        <v>66</v>
      </c>
    </row>
    <row r="202" spans="1:37" x14ac:dyDescent="0.3">
      <c r="A202" s="4" t="s">
        <v>67</v>
      </c>
    </row>
    <row r="203" spans="1:37" x14ac:dyDescent="0.3">
      <c r="A203" s="4" t="s">
        <v>68</v>
      </c>
    </row>
    <row r="204" spans="1:37" x14ac:dyDescent="0.3">
      <c r="A204" s="4" t="s">
        <v>69</v>
      </c>
    </row>
    <row r="205" spans="1:37" x14ac:dyDescent="0.3">
      <c r="A205" s="4" t="s">
        <v>70</v>
      </c>
      <c r="B205" s="4"/>
    </row>
    <row r="206" spans="1:37" x14ac:dyDescent="0.3">
      <c r="A206" s="4" t="s">
        <v>71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37" x14ac:dyDescent="0.3">
      <c r="A207" s="4" t="s">
        <v>72</v>
      </c>
    </row>
    <row r="208" spans="1:37" x14ac:dyDescent="0.3">
      <c r="A208" s="4" t="s">
        <v>73</v>
      </c>
    </row>
    <row r="209" spans="1:15" x14ac:dyDescent="0.3">
      <c r="A209" s="4" t="s">
        <v>74</v>
      </c>
      <c r="B209" s="5"/>
    </row>
    <row r="210" spans="1:15" x14ac:dyDescent="0.3">
      <c r="A210" s="4" t="s">
        <v>75</v>
      </c>
    </row>
    <row r="211" spans="1:15" x14ac:dyDescent="0.3">
      <c r="A211" s="4" t="s">
        <v>76</v>
      </c>
    </row>
    <row r="212" spans="1:15" x14ac:dyDescent="0.3">
      <c r="A212" s="4" t="s">
        <v>77</v>
      </c>
    </row>
    <row r="213" spans="1:15" x14ac:dyDescent="0.3">
      <c r="A213" s="4" t="s">
        <v>78</v>
      </c>
    </row>
    <row r="214" spans="1:15" x14ac:dyDescent="0.3">
      <c r="A214" s="4" t="s">
        <v>79</v>
      </c>
      <c r="I214" s="5"/>
      <c r="K214" s="5"/>
      <c r="L214" s="5"/>
      <c r="M214" s="5"/>
      <c r="N214" s="5"/>
      <c r="O214" s="5"/>
    </row>
    <row r="215" spans="1:15" x14ac:dyDescent="0.3">
      <c r="A215" s="4" t="s">
        <v>80</v>
      </c>
    </row>
    <row r="216" spans="1:15" x14ac:dyDescent="0.3">
      <c r="A216" s="4" t="s">
        <v>81</v>
      </c>
    </row>
    <row r="217" spans="1:15" x14ac:dyDescent="0.3">
      <c r="A217" s="4" t="s">
        <v>82</v>
      </c>
      <c r="B217" s="5"/>
    </row>
    <row r="218" spans="1:15" x14ac:dyDescent="0.3">
      <c r="A218" s="4" t="s">
        <v>83</v>
      </c>
    </row>
    <row r="219" spans="1:15" x14ac:dyDescent="0.3">
      <c r="A219" s="4" t="s">
        <v>84</v>
      </c>
    </row>
    <row r="220" spans="1:15" x14ac:dyDescent="0.3">
      <c r="A220" s="4" t="s">
        <v>85</v>
      </c>
    </row>
    <row r="221" spans="1:15" x14ac:dyDescent="0.3">
      <c r="A221" s="4" t="s">
        <v>86</v>
      </c>
      <c r="I221" s="5"/>
    </row>
    <row r="222" spans="1:15" x14ac:dyDescent="0.3">
      <c r="A222" s="4" t="s">
        <v>87</v>
      </c>
    </row>
    <row r="223" spans="1:15" x14ac:dyDescent="0.3">
      <c r="A223" s="4" t="s">
        <v>88</v>
      </c>
    </row>
    <row r="224" spans="1:15" x14ac:dyDescent="0.3">
      <c r="A224" s="4" t="s">
        <v>89</v>
      </c>
    </row>
    <row r="225" spans="1:1" x14ac:dyDescent="0.3">
      <c r="A225" s="4" t="s">
        <v>90</v>
      </c>
    </row>
    <row r="226" spans="1:1" x14ac:dyDescent="0.3">
      <c r="A226" s="4" t="s">
        <v>91</v>
      </c>
    </row>
    <row r="227" spans="1:1" x14ac:dyDescent="0.3">
      <c r="A227" s="4" t="s">
        <v>92</v>
      </c>
    </row>
    <row r="228" spans="1:1" x14ac:dyDescent="0.3">
      <c r="A228" s="4" t="s">
        <v>93</v>
      </c>
    </row>
    <row r="229" spans="1:1" x14ac:dyDescent="0.3">
      <c r="A229" s="4" t="s">
        <v>94</v>
      </c>
    </row>
    <row r="230" spans="1:1" x14ac:dyDescent="0.3">
      <c r="A230" s="4" t="s">
        <v>95</v>
      </c>
    </row>
    <row r="231" spans="1:1" x14ac:dyDescent="0.3">
      <c r="A231" s="4" t="s">
        <v>96</v>
      </c>
    </row>
    <row r="232" spans="1:1" x14ac:dyDescent="0.3">
      <c r="A232" s="4" t="s">
        <v>97</v>
      </c>
    </row>
    <row r="233" spans="1:1" x14ac:dyDescent="0.3">
      <c r="A233" s="4" t="s">
        <v>98</v>
      </c>
    </row>
    <row r="234" spans="1:1" x14ac:dyDescent="0.3">
      <c r="A234" s="4" t="s">
        <v>99</v>
      </c>
    </row>
    <row r="235" spans="1:1" x14ac:dyDescent="0.3">
      <c r="A235" s="4" t="s">
        <v>100</v>
      </c>
    </row>
    <row r="236" spans="1:1" x14ac:dyDescent="0.3">
      <c r="A236" s="4" t="s">
        <v>101</v>
      </c>
    </row>
    <row r="237" spans="1:1" x14ac:dyDescent="0.3">
      <c r="A237" s="4" t="s">
        <v>102</v>
      </c>
    </row>
    <row r="238" spans="1:1" x14ac:dyDescent="0.3">
      <c r="A238" s="4" t="s">
        <v>103</v>
      </c>
    </row>
    <row r="239" spans="1:1" x14ac:dyDescent="0.3">
      <c r="A239" s="4" t="s">
        <v>104</v>
      </c>
    </row>
    <row r="240" spans="1:1" x14ac:dyDescent="0.3">
      <c r="A240" s="4" t="s">
        <v>105</v>
      </c>
    </row>
    <row r="241" spans="1:37" x14ac:dyDescent="0.3">
      <c r="A241" s="4" t="s">
        <v>106</v>
      </c>
    </row>
    <row r="242" spans="1:37" x14ac:dyDescent="0.3">
      <c r="A242" s="4" t="s">
        <v>107</v>
      </c>
    </row>
    <row r="243" spans="1:37" x14ac:dyDescent="0.3">
      <c r="A243" s="4"/>
    </row>
    <row r="246" spans="1:37" x14ac:dyDescent="0.3">
      <c r="A246">
        <v>6</v>
      </c>
      <c r="B246" s="4" t="s">
        <v>72</v>
      </c>
      <c r="C246" s="4" t="s">
        <v>73</v>
      </c>
      <c r="D246" s="4" t="s">
        <v>74</v>
      </c>
      <c r="E246" s="4" t="s">
        <v>75</v>
      </c>
      <c r="F246" s="4" t="s">
        <v>76</v>
      </c>
      <c r="G246" s="4" t="s">
        <v>77</v>
      </c>
      <c r="H246" s="4" t="s">
        <v>78</v>
      </c>
      <c r="I246" s="4" t="s">
        <v>79</v>
      </c>
      <c r="J246" s="4" t="s">
        <v>80</v>
      </c>
      <c r="K246" s="4" t="s">
        <v>81</v>
      </c>
      <c r="L246" s="4" t="s">
        <v>82</v>
      </c>
      <c r="M246" s="4" t="s">
        <v>83</v>
      </c>
      <c r="N246" s="4" t="s">
        <v>84</v>
      </c>
      <c r="O246" s="4" t="s">
        <v>85</v>
      </c>
      <c r="P246" s="4" t="s">
        <v>86</v>
      </c>
      <c r="Q246" s="4" t="s">
        <v>87</v>
      </c>
      <c r="R246" s="4" t="s">
        <v>88</v>
      </c>
      <c r="S246" s="4" t="s">
        <v>89</v>
      </c>
      <c r="T246" s="4" t="s">
        <v>90</v>
      </c>
      <c r="U246" s="4" t="s">
        <v>91</v>
      </c>
      <c r="V246" s="4" t="s">
        <v>92</v>
      </c>
      <c r="W246" s="4" t="s">
        <v>93</v>
      </c>
      <c r="X246" s="4" t="s">
        <v>94</v>
      </c>
      <c r="Y246" s="4" t="s">
        <v>95</v>
      </c>
      <c r="Z246" s="4" t="s">
        <v>96</v>
      </c>
      <c r="AA246" s="4" t="s">
        <v>97</v>
      </c>
      <c r="AB246" s="4" t="s">
        <v>98</v>
      </c>
      <c r="AC246" s="4" t="s">
        <v>99</v>
      </c>
      <c r="AD246" s="4" t="s">
        <v>100</v>
      </c>
      <c r="AE246" s="4" t="s">
        <v>101</v>
      </c>
      <c r="AF246" s="4" t="s">
        <v>102</v>
      </c>
      <c r="AG246" s="4" t="s">
        <v>103</v>
      </c>
      <c r="AH246" s="4" t="s">
        <v>104</v>
      </c>
      <c r="AI246" s="4" t="s">
        <v>105</v>
      </c>
      <c r="AJ246" s="4" t="s">
        <v>106</v>
      </c>
      <c r="AK246" s="4" t="s">
        <v>107</v>
      </c>
    </row>
    <row r="247" spans="1:37" x14ac:dyDescent="0.3">
      <c r="A247" s="4" t="s">
        <v>48</v>
      </c>
    </row>
    <row r="248" spans="1:37" x14ac:dyDescent="0.3">
      <c r="A248" s="4" t="s">
        <v>49</v>
      </c>
    </row>
    <row r="249" spans="1:37" x14ac:dyDescent="0.3">
      <c r="A249" s="4" t="s">
        <v>50</v>
      </c>
      <c r="B249" s="4"/>
    </row>
    <row r="250" spans="1:37" x14ac:dyDescent="0.3">
      <c r="A250" s="4" t="s">
        <v>66</v>
      </c>
    </row>
    <row r="251" spans="1:37" x14ac:dyDescent="0.3">
      <c r="A251" s="4" t="s">
        <v>67</v>
      </c>
    </row>
    <row r="252" spans="1:37" x14ac:dyDescent="0.3">
      <c r="A252" s="4" t="s">
        <v>68</v>
      </c>
    </row>
    <row r="253" spans="1:37" x14ac:dyDescent="0.3">
      <c r="A253" s="4" t="s">
        <v>69</v>
      </c>
    </row>
    <row r="254" spans="1:37" x14ac:dyDescent="0.3">
      <c r="A254" s="4" t="s">
        <v>70</v>
      </c>
      <c r="B254" s="4"/>
    </row>
    <row r="255" spans="1:37" x14ac:dyDescent="0.3">
      <c r="A255" s="4" t="s">
        <v>71</v>
      </c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37" x14ac:dyDescent="0.3">
      <c r="A256" s="4" t="s">
        <v>72</v>
      </c>
    </row>
    <row r="257" spans="1:15" x14ac:dyDescent="0.3">
      <c r="A257" s="4" t="s">
        <v>73</v>
      </c>
    </row>
    <row r="258" spans="1:15" x14ac:dyDescent="0.3">
      <c r="A258" s="4" t="s">
        <v>74</v>
      </c>
      <c r="B258" s="5"/>
    </row>
    <row r="259" spans="1:15" x14ac:dyDescent="0.3">
      <c r="A259" s="4" t="s">
        <v>75</v>
      </c>
    </row>
    <row r="260" spans="1:15" x14ac:dyDescent="0.3">
      <c r="A260" s="4" t="s">
        <v>76</v>
      </c>
    </row>
    <row r="261" spans="1:15" x14ac:dyDescent="0.3">
      <c r="A261" s="4" t="s">
        <v>77</v>
      </c>
    </row>
    <row r="262" spans="1:15" x14ac:dyDescent="0.3">
      <c r="A262" s="4" t="s">
        <v>78</v>
      </c>
    </row>
    <row r="263" spans="1:15" x14ac:dyDescent="0.3">
      <c r="A263" s="4" t="s">
        <v>79</v>
      </c>
      <c r="I263" s="5"/>
      <c r="K263" s="5"/>
      <c r="L263" s="5"/>
      <c r="M263" s="5"/>
      <c r="N263" s="5"/>
      <c r="O263" s="5"/>
    </row>
    <row r="264" spans="1:15" x14ac:dyDescent="0.3">
      <c r="A264" s="4" t="s">
        <v>80</v>
      </c>
    </row>
    <row r="265" spans="1:15" x14ac:dyDescent="0.3">
      <c r="A265" s="4" t="s">
        <v>81</v>
      </c>
    </row>
    <row r="266" spans="1:15" x14ac:dyDescent="0.3">
      <c r="A266" s="4" t="s">
        <v>82</v>
      </c>
      <c r="B266" s="5"/>
    </row>
    <row r="267" spans="1:15" x14ac:dyDescent="0.3">
      <c r="A267" s="4" t="s">
        <v>83</v>
      </c>
    </row>
    <row r="268" spans="1:15" x14ac:dyDescent="0.3">
      <c r="A268" s="4" t="s">
        <v>84</v>
      </c>
    </row>
    <row r="269" spans="1:15" x14ac:dyDescent="0.3">
      <c r="A269" s="4" t="s">
        <v>85</v>
      </c>
    </row>
    <row r="270" spans="1:15" x14ac:dyDescent="0.3">
      <c r="A270" s="4" t="s">
        <v>86</v>
      </c>
      <c r="I270" s="5"/>
    </row>
    <row r="271" spans="1:15" x14ac:dyDescent="0.3">
      <c r="A271" s="4" t="s">
        <v>87</v>
      </c>
    </row>
    <row r="272" spans="1:15" x14ac:dyDescent="0.3">
      <c r="A272" s="4" t="s">
        <v>88</v>
      </c>
    </row>
    <row r="273" spans="1:1" x14ac:dyDescent="0.3">
      <c r="A273" s="4" t="s">
        <v>89</v>
      </c>
    </row>
    <row r="274" spans="1:1" x14ac:dyDescent="0.3">
      <c r="A274" s="4" t="s">
        <v>90</v>
      </c>
    </row>
    <row r="275" spans="1:1" x14ac:dyDescent="0.3">
      <c r="A275" s="4" t="s">
        <v>91</v>
      </c>
    </row>
    <row r="276" spans="1:1" x14ac:dyDescent="0.3">
      <c r="A276" s="4" t="s">
        <v>92</v>
      </c>
    </row>
    <row r="277" spans="1:1" x14ac:dyDescent="0.3">
      <c r="A277" s="4" t="s">
        <v>93</v>
      </c>
    </row>
    <row r="278" spans="1:1" x14ac:dyDescent="0.3">
      <c r="A278" s="4" t="s">
        <v>94</v>
      </c>
    </row>
    <row r="279" spans="1:1" x14ac:dyDescent="0.3">
      <c r="A279" s="4" t="s">
        <v>95</v>
      </c>
    </row>
    <row r="280" spans="1:1" x14ac:dyDescent="0.3">
      <c r="A280" s="4" t="s">
        <v>96</v>
      </c>
    </row>
    <row r="281" spans="1:1" x14ac:dyDescent="0.3">
      <c r="A281" s="4" t="s">
        <v>97</v>
      </c>
    </row>
    <row r="282" spans="1:1" x14ac:dyDescent="0.3">
      <c r="A282" s="4" t="s">
        <v>98</v>
      </c>
    </row>
    <row r="283" spans="1:1" x14ac:dyDescent="0.3">
      <c r="A283" s="4" t="s">
        <v>99</v>
      </c>
    </row>
    <row r="284" spans="1:1" x14ac:dyDescent="0.3">
      <c r="A284" s="4" t="s">
        <v>100</v>
      </c>
    </row>
    <row r="285" spans="1:1" x14ac:dyDescent="0.3">
      <c r="A285" s="4" t="s">
        <v>101</v>
      </c>
    </row>
    <row r="286" spans="1:1" x14ac:dyDescent="0.3">
      <c r="A286" s="4" t="s">
        <v>102</v>
      </c>
    </row>
    <row r="287" spans="1:1" x14ac:dyDescent="0.3">
      <c r="A287" s="4" t="s">
        <v>103</v>
      </c>
    </row>
    <row r="288" spans="1:1" x14ac:dyDescent="0.3">
      <c r="A288" s="4" t="s">
        <v>104</v>
      </c>
    </row>
    <row r="289" spans="1:37" x14ac:dyDescent="0.3">
      <c r="A289" s="4" t="s">
        <v>105</v>
      </c>
    </row>
    <row r="290" spans="1:37" x14ac:dyDescent="0.3">
      <c r="A290" s="4" t="s">
        <v>106</v>
      </c>
    </row>
    <row r="291" spans="1:37" x14ac:dyDescent="0.3">
      <c r="A291" s="4" t="s">
        <v>107</v>
      </c>
    </row>
    <row r="295" spans="1:37" x14ac:dyDescent="0.3">
      <c r="A295">
        <v>7</v>
      </c>
      <c r="B295" s="4" t="s">
        <v>72</v>
      </c>
      <c r="C295" s="4" t="s">
        <v>73</v>
      </c>
      <c r="D295" s="4" t="s">
        <v>74</v>
      </c>
      <c r="E295" s="4" t="s">
        <v>75</v>
      </c>
      <c r="F295" s="4" t="s">
        <v>76</v>
      </c>
      <c r="G295" s="4" t="s">
        <v>77</v>
      </c>
      <c r="H295" s="4" t="s">
        <v>78</v>
      </c>
      <c r="I295" s="4" t="s">
        <v>79</v>
      </c>
      <c r="J295" s="4" t="s">
        <v>80</v>
      </c>
      <c r="K295" s="4" t="s">
        <v>81</v>
      </c>
      <c r="L295" s="4" t="s">
        <v>82</v>
      </c>
      <c r="M295" s="4" t="s">
        <v>83</v>
      </c>
      <c r="N295" s="4" t="s">
        <v>84</v>
      </c>
      <c r="O295" s="4" t="s">
        <v>85</v>
      </c>
      <c r="P295" s="4" t="s">
        <v>86</v>
      </c>
      <c r="Q295" s="4" t="s">
        <v>87</v>
      </c>
      <c r="R295" s="4" t="s">
        <v>88</v>
      </c>
      <c r="S295" s="4" t="s">
        <v>89</v>
      </c>
      <c r="T295" s="4" t="s">
        <v>90</v>
      </c>
      <c r="U295" s="4" t="s">
        <v>91</v>
      </c>
      <c r="V295" s="4" t="s">
        <v>92</v>
      </c>
      <c r="W295" s="4" t="s">
        <v>93</v>
      </c>
      <c r="X295" s="4" t="s">
        <v>94</v>
      </c>
      <c r="Y295" s="4" t="s">
        <v>95</v>
      </c>
      <c r="Z295" s="4" t="s">
        <v>96</v>
      </c>
      <c r="AA295" s="4" t="s">
        <v>97</v>
      </c>
      <c r="AB295" s="4" t="s">
        <v>98</v>
      </c>
      <c r="AC295" s="4" t="s">
        <v>99</v>
      </c>
      <c r="AD295" s="4" t="s">
        <v>100</v>
      </c>
      <c r="AE295" s="4" t="s">
        <v>101</v>
      </c>
      <c r="AF295" s="4" t="s">
        <v>102</v>
      </c>
      <c r="AG295" s="4" t="s">
        <v>103</v>
      </c>
      <c r="AH295" s="4" t="s">
        <v>104</v>
      </c>
      <c r="AI295" s="4" t="s">
        <v>105</v>
      </c>
      <c r="AJ295" s="4" t="s">
        <v>106</v>
      </c>
      <c r="AK295" s="4" t="s">
        <v>107</v>
      </c>
    </row>
    <row r="296" spans="1:37" x14ac:dyDescent="0.3">
      <c r="A296" s="4" t="s">
        <v>48</v>
      </c>
    </row>
    <row r="297" spans="1:37" x14ac:dyDescent="0.3">
      <c r="A297" s="4" t="s">
        <v>49</v>
      </c>
    </row>
    <row r="298" spans="1:37" x14ac:dyDescent="0.3">
      <c r="A298" s="4" t="s">
        <v>50</v>
      </c>
      <c r="B298" s="4"/>
    </row>
    <row r="299" spans="1:37" x14ac:dyDescent="0.3">
      <c r="A299" s="4" t="s">
        <v>66</v>
      </c>
    </row>
    <row r="300" spans="1:37" x14ac:dyDescent="0.3">
      <c r="A300" s="4" t="s">
        <v>67</v>
      </c>
    </row>
    <row r="301" spans="1:37" x14ac:dyDescent="0.3">
      <c r="A301" s="4" t="s">
        <v>68</v>
      </c>
    </row>
    <row r="302" spans="1:37" x14ac:dyDescent="0.3">
      <c r="A302" s="4" t="s">
        <v>69</v>
      </c>
    </row>
    <row r="303" spans="1:37" x14ac:dyDescent="0.3">
      <c r="A303" s="4" t="s">
        <v>70</v>
      </c>
      <c r="B303" s="4"/>
    </row>
    <row r="304" spans="1:37" x14ac:dyDescent="0.3">
      <c r="A304" s="4" t="s">
        <v>71</v>
      </c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 x14ac:dyDescent="0.3">
      <c r="A305" s="4" t="s">
        <v>72</v>
      </c>
    </row>
    <row r="306" spans="1:15" x14ac:dyDescent="0.3">
      <c r="A306" s="4" t="s">
        <v>73</v>
      </c>
    </row>
    <row r="307" spans="1:15" x14ac:dyDescent="0.3">
      <c r="A307" s="4" t="s">
        <v>74</v>
      </c>
      <c r="B307" s="5"/>
    </row>
    <row r="308" spans="1:15" x14ac:dyDescent="0.3">
      <c r="A308" s="4" t="s">
        <v>75</v>
      </c>
    </row>
    <row r="309" spans="1:15" x14ac:dyDescent="0.3">
      <c r="A309" s="4" t="s">
        <v>76</v>
      </c>
    </row>
    <row r="310" spans="1:15" x14ac:dyDescent="0.3">
      <c r="A310" s="4" t="s">
        <v>77</v>
      </c>
    </row>
    <row r="311" spans="1:15" x14ac:dyDescent="0.3">
      <c r="A311" s="4" t="s">
        <v>78</v>
      </c>
    </row>
    <row r="312" spans="1:15" x14ac:dyDescent="0.3">
      <c r="A312" s="4" t="s">
        <v>79</v>
      </c>
      <c r="I312" s="5"/>
      <c r="K312" s="5"/>
      <c r="L312" s="5"/>
      <c r="M312" s="5"/>
      <c r="N312" s="5"/>
      <c r="O312" s="5"/>
    </row>
    <row r="313" spans="1:15" x14ac:dyDescent="0.3">
      <c r="A313" s="4" t="s">
        <v>80</v>
      </c>
    </row>
    <row r="314" spans="1:15" x14ac:dyDescent="0.3">
      <c r="A314" s="4" t="s">
        <v>81</v>
      </c>
    </row>
    <row r="315" spans="1:15" x14ac:dyDescent="0.3">
      <c r="A315" s="4" t="s">
        <v>82</v>
      </c>
      <c r="B315" s="5"/>
    </row>
    <row r="316" spans="1:15" x14ac:dyDescent="0.3">
      <c r="A316" s="4" t="s">
        <v>83</v>
      </c>
    </row>
    <row r="317" spans="1:15" x14ac:dyDescent="0.3">
      <c r="A317" s="4" t="s">
        <v>84</v>
      </c>
    </row>
    <row r="318" spans="1:15" x14ac:dyDescent="0.3">
      <c r="A318" s="4" t="s">
        <v>85</v>
      </c>
    </row>
    <row r="319" spans="1:15" x14ac:dyDescent="0.3">
      <c r="A319" s="4" t="s">
        <v>86</v>
      </c>
      <c r="I319" s="5"/>
    </row>
    <row r="320" spans="1:15" x14ac:dyDescent="0.3">
      <c r="A320" s="4" t="s">
        <v>87</v>
      </c>
    </row>
    <row r="321" spans="1:1" x14ac:dyDescent="0.3">
      <c r="A321" s="4" t="s">
        <v>88</v>
      </c>
    </row>
    <row r="322" spans="1:1" x14ac:dyDescent="0.3">
      <c r="A322" s="4" t="s">
        <v>89</v>
      </c>
    </row>
    <row r="323" spans="1:1" x14ac:dyDescent="0.3">
      <c r="A323" s="4" t="s">
        <v>90</v>
      </c>
    </row>
    <row r="324" spans="1:1" x14ac:dyDescent="0.3">
      <c r="A324" s="4" t="s">
        <v>91</v>
      </c>
    </row>
    <row r="325" spans="1:1" x14ac:dyDescent="0.3">
      <c r="A325" s="4" t="s">
        <v>92</v>
      </c>
    </row>
    <row r="326" spans="1:1" x14ac:dyDescent="0.3">
      <c r="A326" s="4" t="s">
        <v>93</v>
      </c>
    </row>
    <row r="327" spans="1:1" x14ac:dyDescent="0.3">
      <c r="A327" s="4" t="s">
        <v>94</v>
      </c>
    </row>
    <row r="328" spans="1:1" x14ac:dyDescent="0.3">
      <c r="A328" s="4" t="s">
        <v>95</v>
      </c>
    </row>
    <row r="329" spans="1:1" x14ac:dyDescent="0.3">
      <c r="A329" s="4" t="s">
        <v>96</v>
      </c>
    </row>
    <row r="330" spans="1:1" x14ac:dyDescent="0.3">
      <c r="A330" s="4" t="s">
        <v>97</v>
      </c>
    </row>
    <row r="331" spans="1:1" x14ac:dyDescent="0.3">
      <c r="A331" s="4" t="s">
        <v>98</v>
      </c>
    </row>
    <row r="332" spans="1:1" x14ac:dyDescent="0.3">
      <c r="A332" s="4" t="s">
        <v>99</v>
      </c>
    </row>
    <row r="333" spans="1:1" x14ac:dyDescent="0.3">
      <c r="A333" s="4" t="s">
        <v>100</v>
      </c>
    </row>
    <row r="334" spans="1:1" x14ac:dyDescent="0.3">
      <c r="A334" s="4" t="s">
        <v>101</v>
      </c>
    </row>
    <row r="335" spans="1:1" x14ac:dyDescent="0.3">
      <c r="A335" s="4" t="s">
        <v>102</v>
      </c>
    </row>
    <row r="336" spans="1:1" x14ac:dyDescent="0.3">
      <c r="A336" s="4" t="s">
        <v>103</v>
      </c>
    </row>
    <row r="337" spans="1:37" x14ac:dyDescent="0.3">
      <c r="A337" s="4" t="s">
        <v>104</v>
      </c>
    </row>
    <row r="338" spans="1:37" x14ac:dyDescent="0.3">
      <c r="A338" s="4" t="s">
        <v>105</v>
      </c>
    </row>
    <row r="339" spans="1:37" x14ac:dyDescent="0.3">
      <c r="A339" s="4" t="s">
        <v>106</v>
      </c>
    </row>
    <row r="340" spans="1:37" x14ac:dyDescent="0.3">
      <c r="A340" s="4" t="s">
        <v>107</v>
      </c>
    </row>
    <row r="344" spans="1:37" x14ac:dyDescent="0.3">
      <c r="A344">
        <v>8</v>
      </c>
      <c r="B344" s="4" t="s">
        <v>72</v>
      </c>
      <c r="C344" s="4" t="s">
        <v>73</v>
      </c>
      <c r="D344" s="4" t="s">
        <v>74</v>
      </c>
      <c r="E344" s="4" t="s">
        <v>75</v>
      </c>
      <c r="F344" s="4" t="s">
        <v>76</v>
      </c>
      <c r="G344" s="4" t="s">
        <v>77</v>
      </c>
      <c r="H344" s="4" t="s">
        <v>78</v>
      </c>
      <c r="I344" s="4" t="s">
        <v>79</v>
      </c>
      <c r="J344" s="4" t="s">
        <v>80</v>
      </c>
      <c r="K344" s="4" t="s">
        <v>81</v>
      </c>
      <c r="L344" s="4" t="s">
        <v>82</v>
      </c>
      <c r="M344" s="4" t="s">
        <v>83</v>
      </c>
      <c r="N344" s="4" t="s">
        <v>84</v>
      </c>
      <c r="O344" s="4" t="s">
        <v>85</v>
      </c>
      <c r="P344" s="4" t="s">
        <v>86</v>
      </c>
      <c r="Q344" s="4" t="s">
        <v>87</v>
      </c>
      <c r="R344" s="4" t="s">
        <v>88</v>
      </c>
      <c r="S344" s="4" t="s">
        <v>89</v>
      </c>
      <c r="T344" s="4" t="s">
        <v>90</v>
      </c>
      <c r="U344" s="4" t="s">
        <v>91</v>
      </c>
      <c r="V344" s="4" t="s">
        <v>92</v>
      </c>
      <c r="W344" s="4" t="s">
        <v>93</v>
      </c>
      <c r="X344" s="4" t="s">
        <v>94</v>
      </c>
      <c r="Y344" s="4" t="s">
        <v>95</v>
      </c>
      <c r="Z344" s="4" t="s">
        <v>96</v>
      </c>
      <c r="AA344" s="4" t="s">
        <v>97</v>
      </c>
      <c r="AB344" s="4" t="s">
        <v>98</v>
      </c>
      <c r="AC344" s="4" t="s">
        <v>99</v>
      </c>
      <c r="AD344" s="4" t="s">
        <v>100</v>
      </c>
      <c r="AE344" s="4" t="s">
        <v>101</v>
      </c>
      <c r="AF344" s="4" t="s">
        <v>102</v>
      </c>
      <c r="AG344" s="4" t="s">
        <v>103</v>
      </c>
      <c r="AH344" s="4" t="s">
        <v>104</v>
      </c>
      <c r="AI344" s="4" t="s">
        <v>105</v>
      </c>
      <c r="AJ344" s="4" t="s">
        <v>106</v>
      </c>
      <c r="AK344" s="4" t="s">
        <v>107</v>
      </c>
    </row>
    <row r="345" spans="1:37" x14ac:dyDescent="0.3">
      <c r="A345" s="4" t="s">
        <v>48</v>
      </c>
    </row>
    <row r="346" spans="1:37" x14ac:dyDescent="0.3">
      <c r="A346" s="4" t="s">
        <v>49</v>
      </c>
    </row>
    <row r="347" spans="1:37" x14ac:dyDescent="0.3">
      <c r="A347" s="4" t="s">
        <v>50</v>
      </c>
      <c r="B347" s="4"/>
    </row>
    <row r="348" spans="1:37" x14ac:dyDescent="0.3">
      <c r="A348" s="4" t="s">
        <v>66</v>
      </c>
    </row>
    <row r="349" spans="1:37" x14ac:dyDescent="0.3">
      <c r="A349" s="4" t="s">
        <v>67</v>
      </c>
    </row>
    <row r="350" spans="1:37" x14ac:dyDescent="0.3">
      <c r="A350" s="4" t="s">
        <v>68</v>
      </c>
    </row>
    <row r="351" spans="1:37" x14ac:dyDescent="0.3">
      <c r="A351" s="4" t="s">
        <v>69</v>
      </c>
    </row>
    <row r="352" spans="1:37" x14ac:dyDescent="0.3">
      <c r="A352" s="4" t="s">
        <v>70</v>
      </c>
      <c r="B352" s="4"/>
    </row>
    <row r="353" spans="1:15" x14ac:dyDescent="0.3">
      <c r="A353" s="4" t="s">
        <v>71</v>
      </c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 x14ac:dyDescent="0.3">
      <c r="A354" s="4" t="s">
        <v>72</v>
      </c>
    </row>
    <row r="355" spans="1:15" x14ac:dyDescent="0.3">
      <c r="A355" s="4" t="s">
        <v>73</v>
      </c>
    </row>
    <row r="356" spans="1:15" x14ac:dyDescent="0.3">
      <c r="A356" s="4" t="s">
        <v>74</v>
      </c>
      <c r="B356" s="5"/>
    </row>
    <row r="357" spans="1:15" x14ac:dyDescent="0.3">
      <c r="A357" s="4" t="s">
        <v>75</v>
      </c>
    </row>
    <row r="358" spans="1:15" x14ac:dyDescent="0.3">
      <c r="A358" s="4" t="s">
        <v>76</v>
      </c>
    </row>
    <row r="359" spans="1:15" x14ac:dyDescent="0.3">
      <c r="A359" s="4" t="s">
        <v>77</v>
      </c>
    </row>
    <row r="360" spans="1:15" x14ac:dyDescent="0.3">
      <c r="A360" s="4" t="s">
        <v>78</v>
      </c>
    </row>
    <row r="361" spans="1:15" x14ac:dyDescent="0.3">
      <c r="A361" s="4" t="s">
        <v>79</v>
      </c>
      <c r="I361" s="5"/>
      <c r="K361" s="5"/>
      <c r="L361" s="5"/>
      <c r="M361" s="5"/>
      <c r="N361" s="5"/>
      <c r="O361" s="5"/>
    </row>
    <row r="362" spans="1:15" x14ac:dyDescent="0.3">
      <c r="A362" s="4" t="s">
        <v>80</v>
      </c>
    </row>
    <row r="363" spans="1:15" x14ac:dyDescent="0.3">
      <c r="A363" s="4" t="s">
        <v>81</v>
      </c>
    </row>
    <row r="364" spans="1:15" x14ac:dyDescent="0.3">
      <c r="A364" s="4" t="s">
        <v>82</v>
      </c>
      <c r="B364" s="5"/>
    </row>
    <row r="365" spans="1:15" x14ac:dyDescent="0.3">
      <c r="A365" s="4" t="s">
        <v>83</v>
      </c>
    </row>
    <row r="366" spans="1:15" x14ac:dyDescent="0.3">
      <c r="A366" s="4" t="s">
        <v>84</v>
      </c>
    </row>
    <row r="367" spans="1:15" x14ac:dyDescent="0.3">
      <c r="A367" s="4" t="s">
        <v>85</v>
      </c>
    </row>
    <row r="368" spans="1:15" x14ac:dyDescent="0.3">
      <c r="A368" s="4" t="s">
        <v>86</v>
      </c>
      <c r="I368" s="5"/>
    </row>
    <row r="369" spans="1:1" x14ac:dyDescent="0.3">
      <c r="A369" s="4" t="s">
        <v>87</v>
      </c>
    </row>
    <row r="370" spans="1:1" x14ac:dyDescent="0.3">
      <c r="A370" s="4" t="s">
        <v>88</v>
      </c>
    </row>
    <row r="371" spans="1:1" x14ac:dyDescent="0.3">
      <c r="A371" s="4" t="s">
        <v>89</v>
      </c>
    </row>
    <row r="372" spans="1:1" x14ac:dyDescent="0.3">
      <c r="A372" s="4" t="s">
        <v>90</v>
      </c>
    </row>
    <row r="373" spans="1:1" x14ac:dyDescent="0.3">
      <c r="A373" s="4" t="s">
        <v>91</v>
      </c>
    </row>
    <row r="374" spans="1:1" x14ac:dyDescent="0.3">
      <c r="A374" s="4" t="s">
        <v>92</v>
      </c>
    </row>
    <row r="375" spans="1:1" x14ac:dyDescent="0.3">
      <c r="A375" s="4" t="s">
        <v>93</v>
      </c>
    </row>
    <row r="376" spans="1:1" x14ac:dyDescent="0.3">
      <c r="A376" s="4" t="s">
        <v>94</v>
      </c>
    </row>
    <row r="377" spans="1:1" x14ac:dyDescent="0.3">
      <c r="A377" s="4" t="s">
        <v>95</v>
      </c>
    </row>
    <row r="378" spans="1:1" x14ac:dyDescent="0.3">
      <c r="A378" s="4" t="s">
        <v>96</v>
      </c>
    </row>
    <row r="379" spans="1:1" x14ac:dyDescent="0.3">
      <c r="A379" s="4" t="s">
        <v>97</v>
      </c>
    </row>
    <row r="380" spans="1:1" x14ac:dyDescent="0.3">
      <c r="A380" s="4" t="s">
        <v>98</v>
      </c>
    </row>
    <row r="381" spans="1:1" x14ac:dyDescent="0.3">
      <c r="A381" s="4" t="s">
        <v>99</v>
      </c>
    </row>
    <row r="382" spans="1:1" x14ac:dyDescent="0.3">
      <c r="A382" s="4" t="s">
        <v>100</v>
      </c>
    </row>
    <row r="383" spans="1:1" x14ac:dyDescent="0.3">
      <c r="A383" s="4" t="s">
        <v>101</v>
      </c>
    </row>
    <row r="384" spans="1:1" x14ac:dyDescent="0.3">
      <c r="A384" s="4" t="s">
        <v>102</v>
      </c>
    </row>
    <row r="385" spans="1:37" x14ac:dyDescent="0.3">
      <c r="A385" s="4" t="s">
        <v>103</v>
      </c>
    </row>
    <row r="386" spans="1:37" x14ac:dyDescent="0.3">
      <c r="A386" s="4" t="s">
        <v>104</v>
      </c>
    </row>
    <row r="387" spans="1:37" x14ac:dyDescent="0.3">
      <c r="A387" s="4" t="s">
        <v>105</v>
      </c>
    </row>
    <row r="388" spans="1:37" x14ac:dyDescent="0.3">
      <c r="A388" s="4" t="s">
        <v>106</v>
      </c>
    </row>
    <row r="389" spans="1:37" x14ac:dyDescent="0.3">
      <c r="A389" s="4" t="s">
        <v>107</v>
      </c>
    </row>
    <row r="393" spans="1:37" x14ac:dyDescent="0.3">
      <c r="A393">
        <v>9</v>
      </c>
      <c r="B393" s="4" t="s">
        <v>72</v>
      </c>
      <c r="C393" s="4" t="s">
        <v>73</v>
      </c>
      <c r="D393" s="4" t="s">
        <v>74</v>
      </c>
      <c r="E393" s="4" t="s">
        <v>75</v>
      </c>
      <c r="F393" s="4" t="s">
        <v>76</v>
      </c>
      <c r="G393" s="4" t="s">
        <v>77</v>
      </c>
      <c r="H393" s="4" t="s">
        <v>78</v>
      </c>
      <c r="I393" s="4" t="s">
        <v>79</v>
      </c>
      <c r="J393" s="4" t="s">
        <v>80</v>
      </c>
      <c r="K393" s="4" t="s">
        <v>81</v>
      </c>
      <c r="L393" s="4" t="s">
        <v>82</v>
      </c>
      <c r="M393" s="4" t="s">
        <v>83</v>
      </c>
      <c r="N393" s="4" t="s">
        <v>84</v>
      </c>
      <c r="O393" s="4" t="s">
        <v>85</v>
      </c>
      <c r="P393" s="4" t="s">
        <v>86</v>
      </c>
      <c r="Q393" s="4" t="s">
        <v>87</v>
      </c>
      <c r="R393" s="4" t="s">
        <v>88</v>
      </c>
      <c r="S393" s="4" t="s">
        <v>89</v>
      </c>
      <c r="T393" s="4" t="s">
        <v>90</v>
      </c>
      <c r="U393" s="4" t="s">
        <v>91</v>
      </c>
      <c r="V393" s="4" t="s">
        <v>92</v>
      </c>
      <c r="W393" s="4" t="s">
        <v>93</v>
      </c>
      <c r="X393" s="4" t="s">
        <v>94</v>
      </c>
      <c r="Y393" s="4" t="s">
        <v>95</v>
      </c>
      <c r="Z393" s="4" t="s">
        <v>96</v>
      </c>
      <c r="AA393" s="4" t="s">
        <v>97</v>
      </c>
      <c r="AB393" s="4" t="s">
        <v>98</v>
      </c>
      <c r="AC393" s="4" t="s">
        <v>99</v>
      </c>
      <c r="AD393" s="4" t="s">
        <v>100</v>
      </c>
      <c r="AE393" s="4" t="s">
        <v>101</v>
      </c>
      <c r="AF393" s="4" t="s">
        <v>102</v>
      </c>
      <c r="AG393" s="4" t="s">
        <v>103</v>
      </c>
      <c r="AH393" s="4" t="s">
        <v>104</v>
      </c>
      <c r="AI393" s="4" t="s">
        <v>105</v>
      </c>
      <c r="AJ393" s="4" t="s">
        <v>106</v>
      </c>
      <c r="AK393" s="4" t="s">
        <v>107</v>
      </c>
    </row>
    <row r="394" spans="1:37" x14ac:dyDescent="0.3">
      <c r="A394" s="4" t="s">
        <v>48</v>
      </c>
    </row>
    <row r="395" spans="1:37" x14ac:dyDescent="0.3">
      <c r="A395" s="4" t="s">
        <v>49</v>
      </c>
    </row>
    <row r="396" spans="1:37" x14ac:dyDescent="0.3">
      <c r="A396" s="4" t="s">
        <v>50</v>
      </c>
      <c r="B396" s="4"/>
    </row>
    <row r="397" spans="1:37" x14ac:dyDescent="0.3">
      <c r="A397" s="4" t="s">
        <v>66</v>
      </c>
    </row>
    <row r="398" spans="1:37" x14ac:dyDescent="0.3">
      <c r="A398" s="4" t="s">
        <v>67</v>
      </c>
    </row>
    <row r="399" spans="1:37" x14ac:dyDescent="0.3">
      <c r="A399" s="4" t="s">
        <v>68</v>
      </c>
    </row>
    <row r="400" spans="1:37" x14ac:dyDescent="0.3">
      <c r="A400" s="4" t="s">
        <v>69</v>
      </c>
    </row>
    <row r="401" spans="1:15" x14ac:dyDescent="0.3">
      <c r="A401" s="4" t="s">
        <v>70</v>
      </c>
      <c r="B401" s="4"/>
    </row>
    <row r="402" spans="1:15" x14ac:dyDescent="0.3">
      <c r="A402" s="4" t="s">
        <v>71</v>
      </c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 x14ac:dyDescent="0.3">
      <c r="A403" s="4" t="s">
        <v>72</v>
      </c>
    </row>
    <row r="404" spans="1:15" x14ac:dyDescent="0.3">
      <c r="A404" s="4" t="s">
        <v>73</v>
      </c>
    </row>
    <row r="405" spans="1:15" x14ac:dyDescent="0.3">
      <c r="A405" s="4" t="s">
        <v>74</v>
      </c>
      <c r="B405" s="5"/>
    </row>
    <row r="406" spans="1:15" x14ac:dyDescent="0.3">
      <c r="A406" s="4" t="s">
        <v>75</v>
      </c>
    </row>
    <row r="407" spans="1:15" x14ac:dyDescent="0.3">
      <c r="A407" s="4" t="s">
        <v>76</v>
      </c>
    </row>
    <row r="408" spans="1:15" x14ac:dyDescent="0.3">
      <c r="A408" s="4" t="s">
        <v>77</v>
      </c>
    </row>
    <row r="409" spans="1:15" x14ac:dyDescent="0.3">
      <c r="A409" s="4" t="s">
        <v>78</v>
      </c>
    </row>
    <row r="410" spans="1:15" x14ac:dyDescent="0.3">
      <c r="A410" s="4" t="s">
        <v>79</v>
      </c>
      <c r="I410" s="5"/>
      <c r="K410" s="5"/>
      <c r="L410" s="5"/>
      <c r="M410" s="5"/>
      <c r="N410" s="5"/>
      <c r="O410" s="5"/>
    </row>
    <row r="411" spans="1:15" x14ac:dyDescent="0.3">
      <c r="A411" s="4" t="s">
        <v>80</v>
      </c>
    </row>
    <row r="412" spans="1:15" x14ac:dyDescent="0.3">
      <c r="A412" s="4" t="s">
        <v>81</v>
      </c>
    </row>
    <row r="413" spans="1:15" x14ac:dyDescent="0.3">
      <c r="A413" s="4" t="s">
        <v>82</v>
      </c>
      <c r="B413" s="5"/>
    </row>
    <row r="414" spans="1:15" x14ac:dyDescent="0.3">
      <c r="A414" s="4" t="s">
        <v>83</v>
      </c>
    </row>
    <row r="415" spans="1:15" x14ac:dyDescent="0.3">
      <c r="A415" s="4" t="s">
        <v>84</v>
      </c>
    </row>
    <row r="416" spans="1:15" x14ac:dyDescent="0.3">
      <c r="A416" s="4" t="s">
        <v>85</v>
      </c>
    </row>
    <row r="417" spans="1:9" x14ac:dyDescent="0.3">
      <c r="A417" s="4" t="s">
        <v>86</v>
      </c>
      <c r="I417" s="5"/>
    </row>
    <row r="418" spans="1:9" x14ac:dyDescent="0.3">
      <c r="A418" s="4" t="s">
        <v>87</v>
      </c>
    </row>
    <row r="419" spans="1:9" x14ac:dyDescent="0.3">
      <c r="A419" s="4" t="s">
        <v>88</v>
      </c>
    </row>
    <row r="420" spans="1:9" x14ac:dyDescent="0.3">
      <c r="A420" s="4" t="s">
        <v>89</v>
      </c>
    </row>
    <row r="421" spans="1:9" x14ac:dyDescent="0.3">
      <c r="A421" s="4" t="s">
        <v>90</v>
      </c>
    </row>
    <row r="422" spans="1:9" x14ac:dyDescent="0.3">
      <c r="A422" s="4" t="s">
        <v>91</v>
      </c>
    </row>
    <row r="423" spans="1:9" x14ac:dyDescent="0.3">
      <c r="A423" s="4" t="s">
        <v>92</v>
      </c>
    </row>
    <row r="424" spans="1:9" x14ac:dyDescent="0.3">
      <c r="A424" s="4" t="s">
        <v>93</v>
      </c>
    </row>
    <row r="425" spans="1:9" x14ac:dyDescent="0.3">
      <c r="A425" s="4" t="s">
        <v>94</v>
      </c>
    </row>
    <row r="426" spans="1:9" x14ac:dyDescent="0.3">
      <c r="A426" s="4" t="s">
        <v>95</v>
      </c>
    </row>
    <row r="427" spans="1:9" x14ac:dyDescent="0.3">
      <c r="A427" s="4" t="s">
        <v>96</v>
      </c>
    </row>
    <row r="428" spans="1:9" x14ac:dyDescent="0.3">
      <c r="A428" s="4" t="s">
        <v>97</v>
      </c>
    </row>
    <row r="429" spans="1:9" x14ac:dyDescent="0.3">
      <c r="A429" s="4" t="s">
        <v>98</v>
      </c>
    </row>
    <row r="430" spans="1:9" x14ac:dyDescent="0.3">
      <c r="A430" s="4" t="s">
        <v>99</v>
      </c>
    </row>
    <row r="431" spans="1:9" x14ac:dyDescent="0.3">
      <c r="A431" s="4" t="s">
        <v>100</v>
      </c>
    </row>
    <row r="432" spans="1:9" x14ac:dyDescent="0.3">
      <c r="A432" s="4" t="s">
        <v>101</v>
      </c>
    </row>
    <row r="433" spans="1:37" x14ac:dyDescent="0.3">
      <c r="A433" s="4" t="s">
        <v>102</v>
      </c>
    </row>
    <row r="434" spans="1:37" x14ac:dyDescent="0.3">
      <c r="A434" s="4" t="s">
        <v>103</v>
      </c>
    </row>
    <row r="435" spans="1:37" x14ac:dyDescent="0.3">
      <c r="A435" s="4" t="s">
        <v>104</v>
      </c>
    </row>
    <row r="436" spans="1:37" x14ac:dyDescent="0.3">
      <c r="A436" s="4" t="s">
        <v>105</v>
      </c>
    </row>
    <row r="437" spans="1:37" x14ac:dyDescent="0.3">
      <c r="A437" s="4" t="s">
        <v>106</v>
      </c>
    </row>
    <row r="438" spans="1:37" x14ac:dyDescent="0.3">
      <c r="A438" s="4" t="s">
        <v>107</v>
      </c>
    </row>
    <row r="442" spans="1:37" x14ac:dyDescent="0.3">
      <c r="A442">
        <v>5</v>
      </c>
      <c r="B442" s="4" t="s">
        <v>72</v>
      </c>
      <c r="C442" s="4" t="s">
        <v>73</v>
      </c>
      <c r="D442" s="4" t="s">
        <v>74</v>
      </c>
      <c r="E442" s="4" t="s">
        <v>75</v>
      </c>
      <c r="F442" s="4" t="s">
        <v>76</v>
      </c>
      <c r="G442" s="4" t="s">
        <v>77</v>
      </c>
      <c r="H442" s="4" t="s">
        <v>78</v>
      </c>
      <c r="I442" s="4" t="s">
        <v>79</v>
      </c>
      <c r="J442" s="4" t="s">
        <v>80</v>
      </c>
      <c r="K442" s="4" t="s">
        <v>81</v>
      </c>
      <c r="L442" s="4" t="s">
        <v>82</v>
      </c>
      <c r="M442" s="4" t="s">
        <v>83</v>
      </c>
      <c r="N442" s="4" t="s">
        <v>84</v>
      </c>
      <c r="O442" s="4" t="s">
        <v>85</v>
      </c>
      <c r="P442" s="4" t="s">
        <v>86</v>
      </c>
      <c r="Q442" s="4" t="s">
        <v>87</v>
      </c>
      <c r="R442" s="4" t="s">
        <v>88</v>
      </c>
      <c r="S442" s="4" t="s">
        <v>89</v>
      </c>
      <c r="T442" s="4" t="s">
        <v>90</v>
      </c>
      <c r="U442" s="4" t="s">
        <v>91</v>
      </c>
      <c r="V442" s="4" t="s">
        <v>92</v>
      </c>
      <c r="W442" s="4" t="s">
        <v>93</v>
      </c>
      <c r="X442" s="4" t="s">
        <v>94</v>
      </c>
      <c r="Y442" s="4" t="s">
        <v>95</v>
      </c>
      <c r="Z442" s="4" t="s">
        <v>96</v>
      </c>
      <c r="AA442" s="4" t="s">
        <v>97</v>
      </c>
      <c r="AB442" s="4" t="s">
        <v>98</v>
      </c>
      <c r="AC442" s="4" t="s">
        <v>99</v>
      </c>
      <c r="AD442" s="4" t="s">
        <v>100</v>
      </c>
      <c r="AE442" s="4" t="s">
        <v>101</v>
      </c>
      <c r="AF442" s="4" t="s">
        <v>102</v>
      </c>
      <c r="AG442" s="4" t="s">
        <v>103</v>
      </c>
      <c r="AH442" s="4" t="s">
        <v>104</v>
      </c>
      <c r="AI442" s="4" t="s">
        <v>105</v>
      </c>
      <c r="AJ442" s="4" t="s">
        <v>106</v>
      </c>
      <c r="AK442" s="4" t="s">
        <v>107</v>
      </c>
    </row>
    <row r="443" spans="1:37" x14ac:dyDescent="0.3">
      <c r="A443" s="4" t="s">
        <v>48</v>
      </c>
    </row>
    <row r="444" spans="1:37" x14ac:dyDescent="0.3">
      <c r="A444" s="4" t="s">
        <v>49</v>
      </c>
    </row>
    <row r="445" spans="1:37" x14ac:dyDescent="0.3">
      <c r="A445" s="4" t="s">
        <v>50</v>
      </c>
      <c r="B445" s="4"/>
    </row>
    <row r="446" spans="1:37" x14ac:dyDescent="0.3">
      <c r="A446" s="4" t="s">
        <v>66</v>
      </c>
    </row>
    <row r="447" spans="1:37" x14ac:dyDescent="0.3">
      <c r="A447" s="4" t="s">
        <v>67</v>
      </c>
    </row>
    <row r="448" spans="1:37" x14ac:dyDescent="0.3">
      <c r="A448" s="4" t="s">
        <v>68</v>
      </c>
    </row>
    <row r="449" spans="1:15" x14ac:dyDescent="0.3">
      <c r="A449" s="4" t="s">
        <v>69</v>
      </c>
    </row>
    <row r="450" spans="1:15" x14ac:dyDescent="0.3">
      <c r="A450" s="4" t="s">
        <v>70</v>
      </c>
      <c r="B450" s="4"/>
    </row>
    <row r="451" spans="1:15" x14ac:dyDescent="0.3">
      <c r="A451" s="4" t="s">
        <v>71</v>
      </c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 x14ac:dyDescent="0.3">
      <c r="A452" s="4" t="s">
        <v>72</v>
      </c>
    </row>
    <row r="453" spans="1:15" x14ac:dyDescent="0.3">
      <c r="A453" s="4" t="s">
        <v>73</v>
      </c>
    </row>
    <row r="454" spans="1:15" x14ac:dyDescent="0.3">
      <c r="A454" s="4" t="s">
        <v>74</v>
      </c>
      <c r="B454" s="5"/>
    </row>
    <row r="455" spans="1:15" x14ac:dyDescent="0.3">
      <c r="A455" s="4" t="s">
        <v>75</v>
      </c>
    </row>
    <row r="456" spans="1:15" x14ac:dyDescent="0.3">
      <c r="A456" s="4" t="s">
        <v>76</v>
      </c>
    </row>
    <row r="457" spans="1:15" x14ac:dyDescent="0.3">
      <c r="A457" s="4" t="s">
        <v>77</v>
      </c>
    </row>
    <row r="458" spans="1:15" x14ac:dyDescent="0.3">
      <c r="A458" s="4" t="s">
        <v>78</v>
      </c>
    </row>
    <row r="459" spans="1:15" x14ac:dyDescent="0.3">
      <c r="A459" s="4" t="s">
        <v>79</v>
      </c>
      <c r="I459" s="5"/>
      <c r="K459" s="5"/>
      <c r="L459" s="5"/>
      <c r="M459" s="5"/>
      <c r="N459" s="5"/>
      <c r="O459" s="5"/>
    </row>
    <row r="460" spans="1:15" x14ac:dyDescent="0.3">
      <c r="A460" s="4" t="s">
        <v>80</v>
      </c>
    </row>
    <row r="461" spans="1:15" x14ac:dyDescent="0.3">
      <c r="A461" s="4" t="s">
        <v>81</v>
      </c>
    </row>
    <row r="462" spans="1:15" x14ac:dyDescent="0.3">
      <c r="A462" s="4" t="s">
        <v>82</v>
      </c>
      <c r="B462" s="5"/>
    </row>
    <row r="463" spans="1:15" x14ac:dyDescent="0.3">
      <c r="A463" s="4" t="s">
        <v>83</v>
      </c>
    </row>
    <row r="464" spans="1:15" x14ac:dyDescent="0.3">
      <c r="A464" s="4" t="s">
        <v>84</v>
      </c>
    </row>
    <row r="465" spans="1:9" x14ac:dyDescent="0.3">
      <c r="A465" s="4" t="s">
        <v>85</v>
      </c>
    </row>
    <row r="466" spans="1:9" x14ac:dyDescent="0.3">
      <c r="A466" s="4" t="s">
        <v>86</v>
      </c>
      <c r="I466" s="5"/>
    </row>
    <row r="467" spans="1:9" x14ac:dyDescent="0.3">
      <c r="A467" s="4" t="s">
        <v>87</v>
      </c>
    </row>
    <row r="468" spans="1:9" x14ac:dyDescent="0.3">
      <c r="A468" s="4" t="s">
        <v>88</v>
      </c>
    </row>
    <row r="469" spans="1:9" x14ac:dyDescent="0.3">
      <c r="A469" s="4" t="s">
        <v>89</v>
      </c>
    </row>
    <row r="470" spans="1:9" x14ac:dyDescent="0.3">
      <c r="A470" s="4" t="s">
        <v>90</v>
      </c>
    </row>
    <row r="471" spans="1:9" x14ac:dyDescent="0.3">
      <c r="A471" s="4" t="s">
        <v>91</v>
      </c>
    </row>
    <row r="472" spans="1:9" x14ac:dyDescent="0.3">
      <c r="A472" s="4" t="s">
        <v>92</v>
      </c>
    </row>
    <row r="473" spans="1:9" x14ac:dyDescent="0.3">
      <c r="A473" s="4" t="s">
        <v>93</v>
      </c>
    </row>
    <row r="474" spans="1:9" x14ac:dyDescent="0.3">
      <c r="A474" s="4" t="s">
        <v>94</v>
      </c>
    </row>
    <row r="475" spans="1:9" x14ac:dyDescent="0.3">
      <c r="A475" s="4" t="s">
        <v>95</v>
      </c>
    </row>
    <row r="476" spans="1:9" x14ac:dyDescent="0.3">
      <c r="A476" s="4" t="s">
        <v>96</v>
      </c>
    </row>
    <row r="477" spans="1:9" x14ac:dyDescent="0.3">
      <c r="A477" s="4" t="s">
        <v>97</v>
      </c>
    </row>
    <row r="478" spans="1:9" x14ac:dyDescent="0.3">
      <c r="A478" s="4" t="s">
        <v>98</v>
      </c>
    </row>
    <row r="479" spans="1:9" x14ac:dyDescent="0.3">
      <c r="A479" s="4" t="s">
        <v>99</v>
      </c>
    </row>
    <row r="480" spans="1:9" x14ac:dyDescent="0.3">
      <c r="A480" s="4" t="s">
        <v>100</v>
      </c>
    </row>
    <row r="481" spans="1:37" x14ac:dyDescent="0.3">
      <c r="A481" s="4" t="s">
        <v>101</v>
      </c>
    </row>
    <row r="482" spans="1:37" x14ac:dyDescent="0.3">
      <c r="A482" s="4" t="s">
        <v>102</v>
      </c>
    </row>
    <row r="483" spans="1:37" x14ac:dyDescent="0.3">
      <c r="A483" s="4" t="s">
        <v>103</v>
      </c>
    </row>
    <row r="484" spans="1:37" x14ac:dyDescent="0.3">
      <c r="A484" s="4" t="s">
        <v>104</v>
      </c>
    </row>
    <row r="485" spans="1:37" x14ac:dyDescent="0.3">
      <c r="A485" s="4" t="s">
        <v>105</v>
      </c>
    </row>
    <row r="486" spans="1:37" x14ac:dyDescent="0.3">
      <c r="A486" s="4" t="s">
        <v>106</v>
      </c>
    </row>
    <row r="487" spans="1:37" x14ac:dyDescent="0.3">
      <c r="A487" s="4" t="s">
        <v>107</v>
      </c>
    </row>
    <row r="491" spans="1:37" x14ac:dyDescent="0.3">
      <c r="A491">
        <v>9</v>
      </c>
      <c r="B491" s="4" t="s">
        <v>72</v>
      </c>
      <c r="C491" s="4" t="s">
        <v>73</v>
      </c>
      <c r="D491" s="4" t="s">
        <v>74</v>
      </c>
      <c r="E491" s="4" t="s">
        <v>75</v>
      </c>
      <c r="F491" s="4" t="s">
        <v>76</v>
      </c>
      <c r="G491" s="4" t="s">
        <v>77</v>
      </c>
      <c r="H491" s="4" t="s">
        <v>78</v>
      </c>
      <c r="I491" s="4" t="s">
        <v>79</v>
      </c>
      <c r="J491" s="4" t="s">
        <v>80</v>
      </c>
      <c r="K491" s="4" t="s">
        <v>81</v>
      </c>
      <c r="L491" s="4" t="s">
        <v>82</v>
      </c>
      <c r="M491" s="4" t="s">
        <v>83</v>
      </c>
      <c r="N491" s="4" t="s">
        <v>84</v>
      </c>
      <c r="O491" s="4" t="s">
        <v>85</v>
      </c>
      <c r="P491" s="4" t="s">
        <v>86</v>
      </c>
      <c r="Q491" s="4" t="s">
        <v>87</v>
      </c>
      <c r="R491" s="4" t="s">
        <v>88</v>
      </c>
      <c r="S491" s="4" t="s">
        <v>89</v>
      </c>
      <c r="T491" s="4" t="s">
        <v>90</v>
      </c>
      <c r="U491" s="4" t="s">
        <v>91</v>
      </c>
      <c r="V491" s="4" t="s">
        <v>92</v>
      </c>
      <c r="W491" s="4" t="s">
        <v>93</v>
      </c>
      <c r="X491" s="4" t="s">
        <v>94</v>
      </c>
      <c r="Y491" s="4" t="s">
        <v>95</v>
      </c>
      <c r="Z491" s="4" t="s">
        <v>96</v>
      </c>
      <c r="AA491" s="4" t="s">
        <v>97</v>
      </c>
      <c r="AB491" s="4" t="s">
        <v>98</v>
      </c>
      <c r="AC491" s="4" t="s">
        <v>99</v>
      </c>
      <c r="AD491" s="4" t="s">
        <v>100</v>
      </c>
      <c r="AE491" s="4" t="s">
        <v>101</v>
      </c>
      <c r="AF491" s="4" t="s">
        <v>102</v>
      </c>
      <c r="AG491" s="4" t="s">
        <v>103</v>
      </c>
      <c r="AH491" s="4" t="s">
        <v>104</v>
      </c>
      <c r="AI491" s="4" t="s">
        <v>105</v>
      </c>
      <c r="AJ491" s="4" t="s">
        <v>106</v>
      </c>
      <c r="AK491" s="4" t="s">
        <v>107</v>
      </c>
    </row>
    <row r="492" spans="1:37" x14ac:dyDescent="0.3">
      <c r="A492" s="4" t="s">
        <v>48</v>
      </c>
    </row>
    <row r="493" spans="1:37" x14ac:dyDescent="0.3">
      <c r="A493" s="4" t="s">
        <v>49</v>
      </c>
    </row>
    <row r="494" spans="1:37" x14ac:dyDescent="0.3">
      <c r="A494" s="4" t="s">
        <v>50</v>
      </c>
      <c r="B494" s="4"/>
    </row>
    <row r="495" spans="1:37" x14ac:dyDescent="0.3">
      <c r="A495" s="4" t="s">
        <v>66</v>
      </c>
    </row>
    <row r="496" spans="1:37" x14ac:dyDescent="0.3">
      <c r="A496" s="4" t="s">
        <v>67</v>
      </c>
    </row>
    <row r="497" spans="1:15" x14ac:dyDescent="0.3">
      <c r="A497" s="4" t="s">
        <v>68</v>
      </c>
    </row>
    <row r="498" spans="1:15" x14ac:dyDescent="0.3">
      <c r="A498" s="4" t="s">
        <v>69</v>
      </c>
    </row>
    <row r="499" spans="1:15" x14ac:dyDescent="0.3">
      <c r="A499" s="4" t="s">
        <v>70</v>
      </c>
      <c r="B499" s="4"/>
    </row>
    <row r="500" spans="1:15" x14ac:dyDescent="0.3">
      <c r="A500" s="4" t="s">
        <v>71</v>
      </c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 x14ac:dyDescent="0.3">
      <c r="A501" s="4" t="s">
        <v>72</v>
      </c>
    </row>
    <row r="502" spans="1:15" x14ac:dyDescent="0.3">
      <c r="A502" s="4" t="s">
        <v>73</v>
      </c>
    </row>
    <row r="503" spans="1:15" x14ac:dyDescent="0.3">
      <c r="A503" s="4" t="s">
        <v>74</v>
      </c>
      <c r="B503" s="5"/>
    </row>
    <row r="504" spans="1:15" x14ac:dyDescent="0.3">
      <c r="A504" s="4" t="s">
        <v>75</v>
      </c>
    </row>
    <row r="505" spans="1:15" x14ac:dyDescent="0.3">
      <c r="A505" s="4" t="s">
        <v>76</v>
      </c>
    </row>
    <row r="506" spans="1:15" x14ac:dyDescent="0.3">
      <c r="A506" s="4" t="s">
        <v>77</v>
      </c>
    </row>
    <row r="507" spans="1:15" x14ac:dyDescent="0.3">
      <c r="A507" s="4" t="s">
        <v>78</v>
      </c>
    </row>
    <row r="508" spans="1:15" x14ac:dyDescent="0.3">
      <c r="A508" s="4" t="s">
        <v>79</v>
      </c>
      <c r="I508" s="5"/>
      <c r="K508" s="5"/>
      <c r="L508" s="5"/>
      <c r="M508" s="5"/>
      <c r="N508" s="5"/>
      <c r="O508" s="5"/>
    </row>
    <row r="509" spans="1:15" x14ac:dyDescent="0.3">
      <c r="A509" s="4" t="s">
        <v>80</v>
      </c>
    </row>
    <row r="510" spans="1:15" x14ac:dyDescent="0.3">
      <c r="A510" s="4" t="s">
        <v>81</v>
      </c>
    </row>
    <row r="511" spans="1:15" x14ac:dyDescent="0.3">
      <c r="A511" s="4" t="s">
        <v>82</v>
      </c>
      <c r="B511" s="5"/>
    </row>
    <row r="512" spans="1:15" x14ac:dyDescent="0.3">
      <c r="A512" s="4" t="s">
        <v>83</v>
      </c>
    </row>
    <row r="513" spans="1:9" x14ac:dyDescent="0.3">
      <c r="A513" s="4" t="s">
        <v>84</v>
      </c>
    </row>
    <row r="514" spans="1:9" x14ac:dyDescent="0.3">
      <c r="A514" s="4" t="s">
        <v>85</v>
      </c>
    </row>
    <row r="515" spans="1:9" x14ac:dyDescent="0.3">
      <c r="A515" s="4" t="s">
        <v>86</v>
      </c>
      <c r="I515" s="5"/>
    </row>
    <row r="516" spans="1:9" x14ac:dyDescent="0.3">
      <c r="A516" s="4" t="s">
        <v>87</v>
      </c>
    </row>
    <row r="517" spans="1:9" x14ac:dyDescent="0.3">
      <c r="A517" s="4" t="s">
        <v>88</v>
      </c>
    </row>
    <row r="518" spans="1:9" x14ac:dyDescent="0.3">
      <c r="A518" s="4" t="s">
        <v>89</v>
      </c>
    </row>
    <row r="519" spans="1:9" x14ac:dyDescent="0.3">
      <c r="A519" s="4" t="s">
        <v>90</v>
      </c>
    </row>
    <row r="520" spans="1:9" x14ac:dyDescent="0.3">
      <c r="A520" s="4" t="s">
        <v>91</v>
      </c>
    </row>
    <row r="521" spans="1:9" x14ac:dyDescent="0.3">
      <c r="A521" s="4" t="s">
        <v>92</v>
      </c>
    </row>
    <row r="522" spans="1:9" x14ac:dyDescent="0.3">
      <c r="A522" s="4" t="s">
        <v>93</v>
      </c>
    </row>
    <row r="523" spans="1:9" x14ac:dyDescent="0.3">
      <c r="A523" s="4" t="s">
        <v>94</v>
      </c>
    </row>
    <row r="524" spans="1:9" x14ac:dyDescent="0.3">
      <c r="A524" s="4" t="s">
        <v>95</v>
      </c>
    </row>
    <row r="525" spans="1:9" x14ac:dyDescent="0.3">
      <c r="A525" s="4" t="s">
        <v>96</v>
      </c>
    </row>
    <row r="526" spans="1:9" x14ac:dyDescent="0.3">
      <c r="A526" s="4" t="s">
        <v>97</v>
      </c>
    </row>
    <row r="527" spans="1:9" x14ac:dyDescent="0.3">
      <c r="A527" s="4" t="s">
        <v>98</v>
      </c>
    </row>
    <row r="528" spans="1:9" x14ac:dyDescent="0.3">
      <c r="A528" s="4" t="s">
        <v>99</v>
      </c>
    </row>
    <row r="529" spans="1:37" x14ac:dyDescent="0.3">
      <c r="A529" s="4" t="s">
        <v>100</v>
      </c>
    </row>
    <row r="530" spans="1:37" x14ac:dyDescent="0.3">
      <c r="A530" s="4" t="s">
        <v>101</v>
      </c>
    </row>
    <row r="531" spans="1:37" x14ac:dyDescent="0.3">
      <c r="A531" s="4" t="s">
        <v>102</v>
      </c>
    </row>
    <row r="532" spans="1:37" x14ac:dyDescent="0.3">
      <c r="A532" s="4" t="s">
        <v>103</v>
      </c>
    </row>
    <row r="533" spans="1:37" x14ac:dyDescent="0.3">
      <c r="A533" s="4" t="s">
        <v>104</v>
      </c>
    </row>
    <row r="534" spans="1:37" x14ac:dyDescent="0.3">
      <c r="A534" s="4" t="s">
        <v>105</v>
      </c>
    </row>
    <row r="535" spans="1:37" x14ac:dyDescent="0.3">
      <c r="A535" s="4" t="s">
        <v>106</v>
      </c>
    </row>
    <row r="536" spans="1:37" x14ac:dyDescent="0.3">
      <c r="A536" s="4" t="s">
        <v>107</v>
      </c>
    </row>
    <row r="540" spans="1:37" x14ac:dyDescent="0.3">
      <c r="A540">
        <v>10</v>
      </c>
      <c r="B540" s="4" t="s">
        <v>72</v>
      </c>
      <c r="C540" s="4" t="s">
        <v>73</v>
      </c>
      <c r="D540" s="4" t="s">
        <v>74</v>
      </c>
      <c r="E540" s="4" t="s">
        <v>75</v>
      </c>
      <c r="F540" s="4" t="s">
        <v>76</v>
      </c>
      <c r="G540" s="4" t="s">
        <v>77</v>
      </c>
      <c r="H540" s="4" t="s">
        <v>78</v>
      </c>
      <c r="I540" s="4" t="s">
        <v>79</v>
      </c>
      <c r="J540" s="4" t="s">
        <v>80</v>
      </c>
      <c r="K540" s="4" t="s">
        <v>81</v>
      </c>
      <c r="L540" s="4" t="s">
        <v>82</v>
      </c>
      <c r="M540" s="4" t="s">
        <v>83</v>
      </c>
      <c r="N540" s="4" t="s">
        <v>84</v>
      </c>
      <c r="O540" s="4" t="s">
        <v>85</v>
      </c>
      <c r="P540" s="4" t="s">
        <v>86</v>
      </c>
      <c r="Q540" s="4" t="s">
        <v>87</v>
      </c>
      <c r="R540" s="4" t="s">
        <v>88</v>
      </c>
      <c r="S540" s="4" t="s">
        <v>89</v>
      </c>
      <c r="T540" s="4" t="s">
        <v>90</v>
      </c>
      <c r="U540" s="4" t="s">
        <v>91</v>
      </c>
      <c r="V540" s="4" t="s">
        <v>92</v>
      </c>
      <c r="W540" s="4" t="s">
        <v>93</v>
      </c>
      <c r="X540" s="4" t="s">
        <v>94</v>
      </c>
      <c r="Y540" s="4" t="s">
        <v>95</v>
      </c>
      <c r="Z540" s="4" t="s">
        <v>96</v>
      </c>
      <c r="AA540" s="4" t="s">
        <v>97</v>
      </c>
      <c r="AB540" s="4" t="s">
        <v>98</v>
      </c>
      <c r="AC540" s="4" t="s">
        <v>99</v>
      </c>
      <c r="AD540" s="4" t="s">
        <v>100</v>
      </c>
      <c r="AE540" s="4" t="s">
        <v>101</v>
      </c>
      <c r="AF540" s="4" t="s">
        <v>102</v>
      </c>
      <c r="AG540" s="4" t="s">
        <v>103</v>
      </c>
      <c r="AH540" s="4" t="s">
        <v>104</v>
      </c>
      <c r="AI540" s="4" t="s">
        <v>105</v>
      </c>
      <c r="AJ540" s="4" t="s">
        <v>106</v>
      </c>
      <c r="AK540" s="4" t="s">
        <v>107</v>
      </c>
    </row>
    <row r="541" spans="1:37" x14ac:dyDescent="0.3">
      <c r="A541" s="4" t="s">
        <v>48</v>
      </c>
      <c r="B541" t="s">
        <v>176</v>
      </c>
      <c r="C541" t="s">
        <v>110</v>
      </c>
    </row>
    <row r="542" spans="1:37" x14ac:dyDescent="0.3">
      <c r="A542" s="4" t="s">
        <v>49</v>
      </c>
      <c r="B542" t="s">
        <v>176</v>
      </c>
    </row>
    <row r="543" spans="1:37" x14ac:dyDescent="0.3">
      <c r="A543" s="4" t="s">
        <v>50</v>
      </c>
      <c r="B543" s="4" t="s">
        <v>112</v>
      </c>
    </row>
    <row r="544" spans="1:37" x14ac:dyDescent="0.3">
      <c r="A544" s="4" t="s">
        <v>66</v>
      </c>
      <c r="B544" t="s">
        <v>166</v>
      </c>
      <c r="K544" t="s">
        <v>110</v>
      </c>
    </row>
    <row r="545" spans="1:18" x14ac:dyDescent="0.3">
      <c r="A545" s="4" t="s">
        <v>67</v>
      </c>
      <c r="B545" t="s">
        <v>166</v>
      </c>
      <c r="K545" t="s">
        <v>110</v>
      </c>
    </row>
    <row r="546" spans="1:18" x14ac:dyDescent="0.3">
      <c r="A546" s="4" t="s">
        <v>68</v>
      </c>
      <c r="B546" t="s">
        <v>166</v>
      </c>
    </row>
    <row r="547" spans="1:18" x14ac:dyDescent="0.3">
      <c r="A547" s="4" t="s">
        <v>69</v>
      </c>
    </row>
    <row r="548" spans="1:18" x14ac:dyDescent="0.3">
      <c r="A548" s="4" t="s">
        <v>70</v>
      </c>
      <c r="B548" s="4"/>
    </row>
    <row r="549" spans="1:18" x14ac:dyDescent="0.3">
      <c r="A549" s="4" t="s">
        <v>71</v>
      </c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8" x14ac:dyDescent="0.3">
      <c r="A550" s="4" t="s">
        <v>72</v>
      </c>
      <c r="B550" t="s">
        <v>176</v>
      </c>
      <c r="C550" t="s">
        <v>110</v>
      </c>
    </row>
    <row r="551" spans="1:18" x14ac:dyDescent="0.3">
      <c r="A551" s="4" t="s">
        <v>73</v>
      </c>
    </row>
    <row r="552" spans="1:18" x14ac:dyDescent="0.3">
      <c r="A552" s="4" t="s">
        <v>74</v>
      </c>
      <c r="B552" t="s">
        <v>166</v>
      </c>
      <c r="K552" t="s">
        <v>110</v>
      </c>
      <c r="R552" t="s">
        <v>176</v>
      </c>
    </row>
    <row r="553" spans="1:18" x14ac:dyDescent="0.3">
      <c r="A553" s="4" t="s">
        <v>75</v>
      </c>
      <c r="K553" t="s">
        <v>110</v>
      </c>
    </row>
    <row r="554" spans="1:18" x14ac:dyDescent="0.3">
      <c r="A554" s="4" t="s">
        <v>76</v>
      </c>
      <c r="F554" t="s">
        <v>167</v>
      </c>
      <c r="K554" t="s">
        <v>165</v>
      </c>
    </row>
    <row r="555" spans="1:18" x14ac:dyDescent="0.3">
      <c r="A555" s="4" t="s">
        <v>77</v>
      </c>
      <c r="G555" t="s">
        <v>167</v>
      </c>
    </row>
    <row r="556" spans="1:18" x14ac:dyDescent="0.3">
      <c r="A556" s="4" t="s">
        <v>78</v>
      </c>
    </row>
    <row r="557" spans="1:18" x14ac:dyDescent="0.3">
      <c r="A557" s="4" t="s">
        <v>79</v>
      </c>
      <c r="I557" s="5"/>
      <c r="K557" s="5"/>
      <c r="L557" s="5"/>
      <c r="M557" s="5"/>
      <c r="N557" s="5"/>
      <c r="O557" s="5"/>
    </row>
    <row r="558" spans="1:18" x14ac:dyDescent="0.3">
      <c r="A558" s="4" t="s">
        <v>80</v>
      </c>
      <c r="C558" t="s">
        <v>110</v>
      </c>
      <c r="J558" t="s">
        <v>176</v>
      </c>
    </row>
    <row r="559" spans="1:18" x14ac:dyDescent="0.3">
      <c r="A559" s="4" t="s">
        <v>81</v>
      </c>
      <c r="K559" t="s">
        <v>176</v>
      </c>
      <c r="Q559" t="s">
        <v>176</v>
      </c>
    </row>
    <row r="560" spans="1:18" x14ac:dyDescent="0.3">
      <c r="A560" s="4" t="s">
        <v>82</v>
      </c>
      <c r="B560" s="5"/>
    </row>
    <row r="561" spans="1:11" x14ac:dyDescent="0.3">
      <c r="A561" s="4" t="s">
        <v>83</v>
      </c>
    </row>
    <row r="562" spans="1:11" x14ac:dyDescent="0.3">
      <c r="A562" s="4" t="s">
        <v>84</v>
      </c>
      <c r="K562" t="s">
        <v>113</v>
      </c>
    </row>
    <row r="563" spans="1:11" x14ac:dyDescent="0.3">
      <c r="A563" s="4" t="s">
        <v>85</v>
      </c>
    </row>
    <row r="564" spans="1:11" x14ac:dyDescent="0.3">
      <c r="A564" s="4" t="s">
        <v>86</v>
      </c>
      <c r="I564" s="5"/>
      <c r="K564" t="s">
        <v>164</v>
      </c>
    </row>
    <row r="565" spans="1:11" x14ac:dyDescent="0.3">
      <c r="A565" s="4" t="s">
        <v>87</v>
      </c>
      <c r="C565" t="s">
        <v>110</v>
      </c>
      <c r="J565" t="s">
        <v>176</v>
      </c>
    </row>
    <row r="566" spans="1:11" x14ac:dyDescent="0.3">
      <c r="A566" s="4" t="s">
        <v>88</v>
      </c>
    </row>
    <row r="567" spans="1:11" x14ac:dyDescent="0.3">
      <c r="A567" s="4" t="s">
        <v>89</v>
      </c>
    </row>
    <row r="568" spans="1:11" x14ac:dyDescent="0.3">
      <c r="A568" s="4" t="s">
        <v>90</v>
      </c>
    </row>
    <row r="569" spans="1:11" x14ac:dyDescent="0.3">
      <c r="A569" s="4" t="s">
        <v>91</v>
      </c>
    </row>
    <row r="570" spans="1:11" x14ac:dyDescent="0.3">
      <c r="A570" s="4" t="s">
        <v>92</v>
      </c>
    </row>
    <row r="571" spans="1:11" x14ac:dyDescent="0.3">
      <c r="A571" s="4" t="s">
        <v>93</v>
      </c>
    </row>
    <row r="572" spans="1:11" x14ac:dyDescent="0.3">
      <c r="A572" s="4" t="s">
        <v>94</v>
      </c>
    </row>
    <row r="573" spans="1:11" x14ac:dyDescent="0.3">
      <c r="A573" s="4" t="s">
        <v>95</v>
      </c>
    </row>
    <row r="574" spans="1:11" x14ac:dyDescent="0.3">
      <c r="A574" s="4" t="s">
        <v>96</v>
      </c>
    </row>
    <row r="575" spans="1:11" x14ac:dyDescent="0.3">
      <c r="A575" s="4" t="s">
        <v>97</v>
      </c>
    </row>
    <row r="576" spans="1:11" x14ac:dyDescent="0.3">
      <c r="A576" s="4" t="s">
        <v>98</v>
      </c>
    </row>
    <row r="577" spans="1:37" x14ac:dyDescent="0.3">
      <c r="A577" s="4" t="s">
        <v>99</v>
      </c>
    </row>
    <row r="578" spans="1:37" x14ac:dyDescent="0.3">
      <c r="A578" s="4" t="s">
        <v>100</v>
      </c>
    </row>
    <row r="579" spans="1:37" x14ac:dyDescent="0.3">
      <c r="A579" s="4" t="s">
        <v>101</v>
      </c>
    </row>
    <row r="580" spans="1:37" x14ac:dyDescent="0.3">
      <c r="A580" s="4" t="s">
        <v>102</v>
      </c>
    </row>
    <row r="581" spans="1:37" x14ac:dyDescent="0.3">
      <c r="A581" s="4" t="s">
        <v>103</v>
      </c>
    </row>
    <row r="582" spans="1:37" x14ac:dyDescent="0.3">
      <c r="A582" s="4" t="s">
        <v>104</v>
      </c>
    </row>
    <row r="583" spans="1:37" x14ac:dyDescent="0.3">
      <c r="A583" s="4" t="s">
        <v>105</v>
      </c>
    </row>
    <row r="584" spans="1:37" x14ac:dyDescent="0.3">
      <c r="A584" s="4" t="s">
        <v>106</v>
      </c>
    </row>
    <row r="585" spans="1:37" x14ac:dyDescent="0.3">
      <c r="A585" s="4" t="s">
        <v>107</v>
      </c>
    </row>
    <row r="589" spans="1:37" x14ac:dyDescent="0.3">
      <c r="A589">
        <v>5</v>
      </c>
      <c r="B589" s="4" t="s">
        <v>72</v>
      </c>
      <c r="C589" s="4" t="s">
        <v>73</v>
      </c>
      <c r="D589" s="4" t="s">
        <v>74</v>
      </c>
      <c r="E589" s="4" t="s">
        <v>75</v>
      </c>
      <c r="F589" s="4" t="s">
        <v>76</v>
      </c>
      <c r="G589" s="4" t="s">
        <v>77</v>
      </c>
      <c r="H589" s="4" t="s">
        <v>78</v>
      </c>
      <c r="I589" s="4" t="s">
        <v>79</v>
      </c>
      <c r="J589" s="4" t="s">
        <v>80</v>
      </c>
      <c r="K589" s="4" t="s">
        <v>81</v>
      </c>
      <c r="L589" s="4" t="s">
        <v>82</v>
      </c>
      <c r="M589" s="4" t="s">
        <v>83</v>
      </c>
      <c r="N589" s="4" t="s">
        <v>84</v>
      </c>
      <c r="O589" s="4" t="s">
        <v>85</v>
      </c>
      <c r="P589" s="4" t="s">
        <v>86</v>
      </c>
      <c r="Q589" s="4" t="s">
        <v>87</v>
      </c>
      <c r="R589" s="4" t="s">
        <v>88</v>
      </c>
      <c r="S589" s="4" t="s">
        <v>89</v>
      </c>
      <c r="T589" s="4" t="s">
        <v>90</v>
      </c>
      <c r="U589" s="4" t="s">
        <v>91</v>
      </c>
      <c r="V589" s="4" t="s">
        <v>92</v>
      </c>
      <c r="W589" s="4" t="s">
        <v>93</v>
      </c>
      <c r="X589" s="4" t="s">
        <v>94</v>
      </c>
      <c r="Y589" s="4" t="s">
        <v>95</v>
      </c>
      <c r="Z589" s="4" t="s">
        <v>96</v>
      </c>
      <c r="AA589" s="4" t="s">
        <v>97</v>
      </c>
      <c r="AB589" s="4" t="s">
        <v>98</v>
      </c>
      <c r="AC589" s="4" t="s">
        <v>99</v>
      </c>
      <c r="AD589" s="4" t="s">
        <v>100</v>
      </c>
      <c r="AE589" s="4" t="s">
        <v>101</v>
      </c>
      <c r="AF589" s="4" t="s">
        <v>102</v>
      </c>
      <c r="AG589" s="4" t="s">
        <v>103</v>
      </c>
      <c r="AH589" s="4" t="s">
        <v>104</v>
      </c>
      <c r="AI589" s="4" t="s">
        <v>105</v>
      </c>
      <c r="AJ589" s="4" t="s">
        <v>106</v>
      </c>
      <c r="AK589" s="4" t="s">
        <v>107</v>
      </c>
    </row>
    <row r="590" spans="1:37" x14ac:dyDescent="0.3">
      <c r="A590" s="4" t="s">
        <v>48</v>
      </c>
    </row>
    <row r="591" spans="1:37" x14ac:dyDescent="0.3">
      <c r="A591" s="4" t="s">
        <v>49</v>
      </c>
    </row>
    <row r="592" spans="1:37" x14ac:dyDescent="0.3">
      <c r="A592" s="4" t="s">
        <v>50</v>
      </c>
      <c r="B592" s="4"/>
    </row>
    <row r="593" spans="1:15" x14ac:dyDescent="0.3">
      <c r="A593" s="4" t="s">
        <v>66</v>
      </c>
    </row>
    <row r="594" spans="1:15" x14ac:dyDescent="0.3">
      <c r="A594" s="4" t="s">
        <v>67</v>
      </c>
    </row>
    <row r="595" spans="1:15" x14ac:dyDescent="0.3">
      <c r="A595" s="4" t="s">
        <v>68</v>
      </c>
    </row>
    <row r="596" spans="1:15" x14ac:dyDescent="0.3">
      <c r="A596" s="4" t="s">
        <v>69</v>
      </c>
    </row>
    <row r="597" spans="1:15" x14ac:dyDescent="0.3">
      <c r="A597" s="4" t="s">
        <v>70</v>
      </c>
      <c r="B597" s="4"/>
    </row>
    <row r="598" spans="1:15" x14ac:dyDescent="0.3">
      <c r="A598" s="4" t="s">
        <v>71</v>
      </c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 x14ac:dyDescent="0.3">
      <c r="A599" s="4" t="s">
        <v>72</v>
      </c>
    </row>
    <row r="600" spans="1:15" x14ac:dyDescent="0.3">
      <c r="A600" s="4" t="s">
        <v>73</v>
      </c>
    </row>
    <row r="601" spans="1:15" x14ac:dyDescent="0.3">
      <c r="A601" s="4" t="s">
        <v>74</v>
      </c>
      <c r="B601" s="5"/>
    </row>
    <row r="602" spans="1:15" x14ac:dyDescent="0.3">
      <c r="A602" s="4" t="s">
        <v>75</v>
      </c>
    </row>
    <row r="603" spans="1:15" x14ac:dyDescent="0.3">
      <c r="A603" s="4" t="s">
        <v>76</v>
      </c>
    </row>
    <row r="604" spans="1:15" x14ac:dyDescent="0.3">
      <c r="A604" s="4" t="s">
        <v>77</v>
      </c>
    </row>
    <row r="605" spans="1:15" x14ac:dyDescent="0.3">
      <c r="A605" s="4" t="s">
        <v>78</v>
      </c>
    </row>
    <row r="606" spans="1:15" x14ac:dyDescent="0.3">
      <c r="A606" s="4" t="s">
        <v>79</v>
      </c>
      <c r="I606" s="5"/>
      <c r="K606" s="5"/>
      <c r="L606" s="5"/>
      <c r="M606" s="5"/>
      <c r="N606" s="5"/>
      <c r="O606" s="5"/>
    </row>
    <row r="607" spans="1:15" x14ac:dyDescent="0.3">
      <c r="A607" s="4" t="s">
        <v>80</v>
      </c>
    </row>
    <row r="608" spans="1:15" x14ac:dyDescent="0.3">
      <c r="A608" s="4" t="s">
        <v>81</v>
      </c>
    </row>
    <row r="609" spans="1:9" x14ac:dyDescent="0.3">
      <c r="A609" s="4" t="s">
        <v>82</v>
      </c>
      <c r="B609" s="5"/>
    </row>
    <row r="610" spans="1:9" x14ac:dyDescent="0.3">
      <c r="A610" s="4" t="s">
        <v>83</v>
      </c>
    </row>
    <row r="611" spans="1:9" x14ac:dyDescent="0.3">
      <c r="A611" s="4" t="s">
        <v>84</v>
      </c>
    </row>
    <row r="612" spans="1:9" x14ac:dyDescent="0.3">
      <c r="A612" s="4" t="s">
        <v>85</v>
      </c>
    </row>
    <row r="613" spans="1:9" x14ac:dyDescent="0.3">
      <c r="A613" s="4" t="s">
        <v>86</v>
      </c>
      <c r="I613" s="5"/>
    </row>
    <row r="614" spans="1:9" x14ac:dyDescent="0.3">
      <c r="A614" s="4" t="s">
        <v>87</v>
      </c>
    </row>
    <row r="615" spans="1:9" x14ac:dyDescent="0.3">
      <c r="A615" s="4" t="s">
        <v>88</v>
      </c>
    </row>
    <row r="616" spans="1:9" x14ac:dyDescent="0.3">
      <c r="A616" s="4" t="s">
        <v>89</v>
      </c>
    </row>
    <row r="617" spans="1:9" x14ac:dyDescent="0.3">
      <c r="A617" s="4" t="s">
        <v>90</v>
      </c>
    </row>
    <row r="618" spans="1:9" x14ac:dyDescent="0.3">
      <c r="A618" s="4" t="s">
        <v>91</v>
      </c>
    </row>
    <row r="619" spans="1:9" x14ac:dyDescent="0.3">
      <c r="A619" s="4" t="s">
        <v>92</v>
      </c>
    </row>
    <row r="620" spans="1:9" x14ac:dyDescent="0.3">
      <c r="A620" s="4" t="s">
        <v>93</v>
      </c>
    </row>
    <row r="621" spans="1:9" x14ac:dyDescent="0.3">
      <c r="A621" s="4" t="s">
        <v>94</v>
      </c>
    </row>
    <row r="622" spans="1:9" x14ac:dyDescent="0.3">
      <c r="A622" s="4" t="s">
        <v>95</v>
      </c>
    </row>
    <row r="623" spans="1:9" x14ac:dyDescent="0.3">
      <c r="A623" s="4" t="s">
        <v>96</v>
      </c>
    </row>
    <row r="624" spans="1:9" x14ac:dyDescent="0.3">
      <c r="A624" s="4" t="s">
        <v>97</v>
      </c>
    </row>
    <row r="625" spans="1:37" x14ac:dyDescent="0.3">
      <c r="A625" s="4" t="s">
        <v>98</v>
      </c>
    </row>
    <row r="626" spans="1:37" x14ac:dyDescent="0.3">
      <c r="A626" s="4" t="s">
        <v>99</v>
      </c>
    </row>
    <row r="627" spans="1:37" x14ac:dyDescent="0.3">
      <c r="A627" s="4" t="s">
        <v>100</v>
      </c>
    </row>
    <row r="628" spans="1:37" x14ac:dyDescent="0.3">
      <c r="A628" s="4" t="s">
        <v>101</v>
      </c>
    </row>
    <row r="629" spans="1:37" x14ac:dyDescent="0.3">
      <c r="A629" s="4" t="s">
        <v>102</v>
      </c>
    </row>
    <row r="630" spans="1:37" x14ac:dyDescent="0.3">
      <c r="A630" s="4" t="s">
        <v>103</v>
      </c>
    </row>
    <row r="631" spans="1:37" x14ac:dyDescent="0.3">
      <c r="A631" s="4" t="s">
        <v>104</v>
      </c>
    </row>
    <row r="632" spans="1:37" x14ac:dyDescent="0.3">
      <c r="A632" s="4" t="s">
        <v>105</v>
      </c>
    </row>
    <row r="633" spans="1:37" x14ac:dyDescent="0.3">
      <c r="A633" s="4" t="s">
        <v>106</v>
      </c>
    </row>
    <row r="634" spans="1:37" x14ac:dyDescent="0.3">
      <c r="A634" s="4" t="s">
        <v>107</v>
      </c>
    </row>
    <row r="638" spans="1:37" x14ac:dyDescent="0.3">
      <c r="A638">
        <v>5</v>
      </c>
      <c r="B638" s="4" t="s">
        <v>72</v>
      </c>
      <c r="C638" s="4" t="s">
        <v>73</v>
      </c>
      <c r="D638" s="4" t="s">
        <v>74</v>
      </c>
      <c r="E638" s="4" t="s">
        <v>75</v>
      </c>
      <c r="F638" s="4" t="s">
        <v>76</v>
      </c>
      <c r="G638" s="4" t="s">
        <v>77</v>
      </c>
      <c r="H638" s="4" t="s">
        <v>78</v>
      </c>
      <c r="I638" s="4" t="s">
        <v>79</v>
      </c>
      <c r="J638" s="4" t="s">
        <v>80</v>
      </c>
      <c r="K638" s="4" t="s">
        <v>81</v>
      </c>
      <c r="L638" s="4" t="s">
        <v>82</v>
      </c>
      <c r="M638" s="4" t="s">
        <v>83</v>
      </c>
      <c r="N638" s="4" t="s">
        <v>84</v>
      </c>
      <c r="O638" s="4" t="s">
        <v>85</v>
      </c>
      <c r="P638" s="4" t="s">
        <v>86</v>
      </c>
      <c r="Q638" s="4" t="s">
        <v>87</v>
      </c>
      <c r="R638" s="4" t="s">
        <v>88</v>
      </c>
      <c r="S638" s="4" t="s">
        <v>89</v>
      </c>
      <c r="T638" s="4" t="s">
        <v>90</v>
      </c>
      <c r="U638" s="4" t="s">
        <v>91</v>
      </c>
      <c r="V638" s="4" t="s">
        <v>92</v>
      </c>
      <c r="W638" s="4" t="s">
        <v>93</v>
      </c>
      <c r="X638" s="4" t="s">
        <v>94</v>
      </c>
      <c r="Y638" s="4" t="s">
        <v>95</v>
      </c>
      <c r="Z638" s="4" t="s">
        <v>96</v>
      </c>
      <c r="AA638" s="4" t="s">
        <v>97</v>
      </c>
      <c r="AB638" s="4" t="s">
        <v>98</v>
      </c>
      <c r="AC638" s="4" t="s">
        <v>99</v>
      </c>
      <c r="AD638" s="4" t="s">
        <v>100</v>
      </c>
      <c r="AE638" s="4" t="s">
        <v>101</v>
      </c>
      <c r="AF638" s="4" t="s">
        <v>102</v>
      </c>
      <c r="AG638" s="4" t="s">
        <v>103</v>
      </c>
      <c r="AH638" s="4" t="s">
        <v>104</v>
      </c>
      <c r="AI638" s="4" t="s">
        <v>105</v>
      </c>
      <c r="AJ638" s="4" t="s">
        <v>106</v>
      </c>
      <c r="AK638" s="4" t="s">
        <v>107</v>
      </c>
    </row>
    <row r="639" spans="1:37" x14ac:dyDescent="0.3">
      <c r="A639" s="4" t="s">
        <v>48</v>
      </c>
    </row>
    <row r="640" spans="1:37" x14ac:dyDescent="0.3">
      <c r="A640" s="4" t="s">
        <v>49</v>
      </c>
    </row>
    <row r="641" spans="1:15" x14ac:dyDescent="0.3">
      <c r="A641" s="4" t="s">
        <v>50</v>
      </c>
      <c r="B641" s="4"/>
    </row>
    <row r="642" spans="1:15" x14ac:dyDescent="0.3">
      <c r="A642" s="4" t="s">
        <v>66</v>
      </c>
    </row>
    <row r="643" spans="1:15" x14ac:dyDescent="0.3">
      <c r="A643" s="4" t="s">
        <v>67</v>
      </c>
    </row>
    <row r="644" spans="1:15" x14ac:dyDescent="0.3">
      <c r="A644" s="4" t="s">
        <v>68</v>
      </c>
    </row>
    <row r="645" spans="1:15" x14ac:dyDescent="0.3">
      <c r="A645" s="4" t="s">
        <v>69</v>
      </c>
    </row>
    <row r="646" spans="1:15" x14ac:dyDescent="0.3">
      <c r="A646" s="4" t="s">
        <v>70</v>
      </c>
      <c r="B646" s="4"/>
    </row>
    <row r="647" spans="1:15" x14ac:dyDescent="0.3">
      <c r="A647" s="4" t="s">
        <v>71</v>
      </c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 x14ac:dyDescent="0.3">
      <c r="A648" s="4" t="s">
        <v>72</v>
      </c>
    </row>
    <row r="649" spans="1:15" x14ac:dyDescent="0.3">
      <c r="A649" s="4" t="s">
        <v>73</v>
      </c>
    </row>
    <row r="650" spans="1:15" x14ac:dyDescent="0.3">
      <c r="A650" s="4" t="s">
        <v>74</v>
      </c>
      <c r="B650" s="5"/>
    </row>
    <row r="651" spans="1:15" x14ac:dyDescent="0.3">
      <c r="A651" s="4" t="s">
        <v>75</v>
      </c>
    </row>
    <row r="652" spans="1:15" x14ac:dyDescent="0.3">
      <c r="A652" s="4" t="s">
        <v>76</v>
      </c>
    </row>
    <row r="653" spans="1:15" x14ac:dyDescent="0.3">
      <c r="A653" s="4" t="s">
        <v>77</v>
      </c>
    </row>
    <row r="654" spans="1:15" x14ac:dyDescent="0.3">
      <c r="A654" s="4" t="s">
        <v>78</v>
      </c>
    </row>
    <row r="655" spans="1:15" x14ac:dyDescent="0.3">
      <c r="A655" s="4" t="s">
        <v>79</v>
      </c>
      <c r="I655" s="5"/>
      <c r="K655" s="5"/>
      <c r="L655" s="5"/>
      <c r="M655" s="5"/>
      <c r="N655" s="5"/>
      <c r="O655" s="5"/>
    </row>
    <row r="656" spans="1:15" x14ac:dyDescent="0.3">
      <c r="A656" s="4" t="s">
        <v>80</v>
      </c>
    </row>
    <row r="657" spans="1:9" x14ac:dyDescent="0.3">
      <c r="A657" s="4" t="s">
        <v>81</v>
      </c>
    </row>
    <row r="658" spans="1:9" x14ac:dyDescent="0.3">
      <c r="A658" s="4" t="s">
        <v>82</v>
      </c>
      <c r="B658" s="5"/>
    </row>
    <row r="659" spans="1:9" x14ac:dyDescent="0.3">
      <c r="A659" s="4" t="s">
        <v>83</v>
      </c>
    </row>
    <row r="660" spans="1:9" x14ac:dyDescent="0.3">
      <c r="A660" s="4" t="s">
        <v>84</v>
      </c>
    </row>
    <row r="661" spans="1:9" x14ac:dyDescent="0.3">
      <c r="A661" s="4" t="s">
        <v>85</v>
      </c>
    </row>
    <row r="662" spans="1:9" x14ac:dyDescent="0.3">
      <c r="A662" s="4" t="s">
        <v>86</v>
      </c>
      <c r="I662" s="5"/>
    </row>
    <row r="663" spans="1:9" x14ac:dyDescent="0.3">
      <c r="A663" s="4" t="s">
        <v>87</v>
      </c>
    </row>
    <row r="664" spans="1:9" x14ac:dyDescent="0.3">
      <c r="A664" s="4" t="s">
        <v>88</v>
      </c>
    </row>
    <row r="665" spans="1:9" x14ac:dyDescent="0.3">
      <c r="A665" s="4" t="s">
        <v>89</v>
      </c>
    </row>
    <row r="666" spans="1:9" x14ac:dyDescent="0.3">
      <c r="A666" s="4" t="s">
        <v>90</v>
      </c>
    </row>
    <row r="667" spans="1:9" x14ac:dyDescent="0.3">
      <c r="A667" s="4" t="s">
        <v>91</v>
      </c>
    </row>
    <row r="668" spans="1:9" x14ac:dyDescent="0.3">
      <c r="A668" s="4" t="s">
        <v>92</v>
      </c>
    </row>
    <row r="669" spans="1:9" x14ac:dyDescent="0.3">
      <c r="A669" s="4" t="s">
        <v>93</v>
      </c>
    </row>
    <row r="670" spans="1:9" x14ac:dyDescent="0.3">
      <c r="A670" s="4" t="s">
        <v>94</v>
      </c>
    </row>
    <row r="671" spans="1:9" x14ac:dyDescent="0.3">
      <c r="A671" s="4" t="s">
        <v>95</v>
      </c>
    </row>
    <row r="672" spans="1:9" x14ac:dyDescent="0.3">
      <c r="A672" s="4" t="s">
        <v>96</v>
      </c>
    </row>
    <row r="673" spans="1:37" x14ac:dyDescent="0.3">
      <c r="A673" s="4" t="s">
        <v>97</v>
      </c>
    </row>
    <row r="674" spans="1:37" x14ac:dyDescent="0.3">
      <c r="A674" s="4" t="s">
        <v>98</v>
      </c>
    </row>
    <row r="675" spans="1:37" x14ac:dyDescent="0.3">
      <c r="A675" s="4" t="s">
        <v>99</v>
      </c>
    </row>
    <row r="676" spans="1:37" x14ac:dyDescent="0.3">
      <c r="A676" s="4" t="s">
        <v>100</v>
      </c>
    </row>
    <row r="677" spans="1:37" x14ac:dyDescent="0.3">
      <c r="A677" s="4" t="s">
        <v>101</v>
      </c>
    </row>
    <row r="678" spans="1:37" x14ac:dyDescent="0.3">
      <c r="A678" s="4" t="s">
        <v>102</v>
      </c>
    </row>
    <row r="679" spans="1:37" x14ac:dyDescent="0.3">
      <c r="A679" s="4" t="s">
        <v>103</v>
      </c>
    </row>
    <row r="680" spans="1:37" x14ac:dyDescent="0.3">
      <c r="A680" s="4" t="s">
        <v>104</v>
      </c>
    </row>
    <row r="681" spans="1:37" x14ac:dyDescent="0.3">
      <c r="A681" s="4" t="s">
        <v>105</v>
      </c>
    </row>
    <row r="682" spans="1:37" x14ac:dyDescent="0.3">
      <c r="A682" s="4" t="s">
        <v>106</v>
      </c>
    </row>
    <row r="683" spans="1:37" x14ac:dyDescent="0.3">
      <c r="A683" s="4" t="s">
        <v>107</v>
      </c>
    </row>
    <row r="687" spans="1:37" x14ac:dyDescent="0.3">
      <c r="A687">
        <v>5</v>
      </c>
      <c r="B687" s="4" t="s">
        <v>72</v>
      </c>
      <c r="C687" s="4" t="s">
        <v>73</v>
      </c>
      <c r="D687" s="4" t="s">
        <v>74</v>
      </c>
      <c r="E687" s="4" t="s">
        <v>75</v>
      </c>
      <c r="F687" s="4" t="s">
        <v>76</v>
      </c>
      <c r="G687" s="4" t="s">
        <v>77</v>
      </c>
      <c r="H687" s="4" t="s">
        <v>78</v>
      </c>
      <c r="I687" s="4" t="s">
        <v>79</v>
      </c>
      <c r="J687" s="4" t="s">
        <v>80</v>
      </c>
      <c r="K687" s="4" t="s">
        <v>81</v>
      </c>
      <c r="L687" s="4" t="s">
        <v>82</v>
      </c>
      <c r="M687" s="4" t="s">
        <v>83</v>
      </c>
      <c r="N687" s="4" t="s">
        <v>84</v>
      </c>
      <c r="O687" s="4" t="s">
        <v>85</v>
      </c>
      <c r="P687" s="4" t="s">
        <v>86</v>
      </c>
      <c r="Q687" s="4" t="s">
        <v>87</v>
      </c>
      <c r="R687" s="4" t="s">
        <v>88</v>
      </c>
      <c r="S687" s="4" t="s">
        <v>89</v>
      </c>
      <c r="T687" s="4" t="s">
        <v>90</v>
      </c>
      <c r="U687" s="4" t="s">
        <v>91</v>
      </c>
      <c r="V687" s="4" t="s">
        <v>92</v>
      </c>
      <c r="W687" s="4" t="s">
        <v>93</v>
      </c>
      <c r="X687" s="4" t="s">
        <v>94</v>
      </c>
      <c r="Y687" s="4" t="s">
        <v>95</v>
      </c>
      <c r="Z687" s="4" t="s">
        <v>96</v>
      </c>
      <c r="AA687" s="4" t="s">
        <v>97</v>
      </c>
      <c r="AB687" s="4" t="s">
        <v>98</v>
      </c>
      <c r="AC687" s="4" t="s">
        <v>99</v>
      </c>
      <c r="AD687" s="4" t="s">
        <v>100</v>
      </c>
      <c r="AE687" s="4" t="s">
        <v>101</v>
      </c>
      <c r="AF687" s="4" t="s">
        <v>102</v>
      </c>
      <c r="AG687" s="4" t="s">
        <v>103</v>
      </c>
      <c r="AH687" s="4" t="s">
        <v>104</v>
      </c>
      <c r="AI687" s="4" t="s">
        <v>105</v>
      </c>
      <c r="AJ687" s="4" t="s">
        <v>106</v>
      </c>
      <c r="AK687" s="4" t="s">
        <v>107</v>
      </c>
    </row>
    <row r="688" spans="1:37" x14ac:dyDescent="0.3">
      <c r="A688" s="4" t="s">
        <v>48</v>
      </c>
    </row>
    <row r="689" spans="1:15" x14ac:dyDescent="0.3">
      <c r="A689" s="4" t="s">
        <v>49</v>
      </c>
    </row>
    <row r="690" spans="1:15" x14ac:dyDescent="0.3">
      <c r="A690" s="4" t="s">
        <v>50</v>
      </c>
      <c r="B690" s="4"/>
    </row>
    <row r="691" spans="1:15" x14ac:dyDescent="0.3">
      <c r="A691" s="4" t="s">
        <v>66</v>
      </c>
    </row>
    <row r="692" spans="1:15" x14ac:dyDescent="0.3">
      <c r="A692" s="4" t="s">
        <v>67</v>
      </c>
    </row>
    <row r="693" spans="1:15" x14ac:dyDescent="0.3">
      <c r="A693" s="4" t="s">
        <v>68</v>
      </c>
    </row>
    <row r="694" spans="1:15" x14ac:dyDescent="0.3">
      <c r="A694" s="4" t="s">
        <v>69</v>
      </c>
    </row>
    <row r="695" spans="1:15" x14ac:dyDescent="0.3">
      <c r="A695" s="4" t="s">
        <v>70</v>
      </c>
      <c r="B695" s="4"/>
    </row>
    <row r="696" spans="1:15" x14ac:dyDescent="0.3">
      <c r="A696" s="4" t="s">
        <v>71</v>
      </c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 x14ac:dyDescent="0.3">
      <c r="A697" s="4" t="s">
        <v>72</v>
      </c>
    </row>
    <row r="698" spans="1:15" x14ac:dyDescent="0.3">
      <c r="A698" s="4" t="s">
        <v>73</v>
      </c>
    </row>
    <row r="699" spans="1:15" x14ac:dyDescent="0.3">
      <c r="A699" s="4" t="s">
        <v>74</v>
      </c>
      <c r="B699" s="5"/>
    </row>
    <row r="700" spans="1:15" x14ac:dyDescent="0.3">
      <c r="A700" s="4" t="s">
        <v>75</v>
      </c>
    </row>
    <row r="701" spans="1:15" x14ac:dyDescent="0.3">
      <c r="A701" s="4" t="s">
        <v>76</v>
      </c>
    </row>
    <row r="702" spans="1:15" x14ac:dyDescent="0.3">
      <c r="A702" s="4" t="s">
        <v>77</v>
      </c>
    </row>
    <row r="703" spans="1:15" x14ac:dyDescent="0.3">
      <c r="A703" s="4" t="s">
        <v>78</v>
      </c>
    </row>
    <row r="704" spans="1:15" x14ac:dyDescent="0.3">
      <c r="A704" s="4" t="s">
        <v>79</v>
      </c>
      <c r="I704" s="5"/>
      <c r="K704" s="5"/>
      <c r="L704" s="5"/>
      <c r="M704" s="5"/>
      <c r="N704" s="5"/>
      <c r="O704" s="5"/>
    </row>
    <row r="705" spans="1:9" x14ac:dyDescent="0.3">
      <c r="A705" s="4" t="s">
        <v>80</v>
      </c>
    </row>
    <row r="706" spans="1:9" x14ac:dyDescent="0.3">
      <c r="A706" s="4" t="s">
        <v>81</v>
      </c>
    </row>
    <row r="707" spans="1:9" x14ac:dyDescent="0.3">
      <c r="A707" s="4" t="s">
        <v>82</v>
      </c>
      <c r="B707" s="5"/>
    </row>
    <row r="708" spans="1:9" x14ac:dyDescent="0.3">
      <c r="A708" s="4" t="s">
        <v>83</v>
      </c>
    </row>
    <row r="709" spans="1:9" x14ac:dyDescent="0.3">
      <c r="A709" s="4" t="s">
        <v>84</v>
      </c>
    </row>
    <row r="710" spans="1:9" x14ac:dyDescent="0.3">
      <c r="A710" s="4" t="s">
        <v>85</v>
      </c>
    </row>
    <row r="711" spans="1:9" x14ac:dyDescent="0.3">
      <c r="A711" s="4" t="s">
        <v>86</v>
      </c>
      <c r="I711" s="5"/>
    </row>
    <row r="712" spans="1:9" x14ac:dyDescent="0.3">
      <c r="A712" s="4" t="s">
        <v>87</v>
      </c>
    </row>
    <row r="713" spans="1:9" x14ac:dyDescent="0.3">
      <c r="A713" s="4" t="s">
        <v>88</v>
      </c>
    </row>
    <row r="714" spans="1:9" x14ac:dyDescent="0.3">
      <c r="A714" s="4" t="s">
        <v>89</v>
      </c>
    </row>
    <row r="715" spans="1:9" x14ac:dyDescent="0.3">
      <c r="A715" s="4" t="s">
        <v>90</v>
      </c>
    </row>
    <row r="716" spans="1:9" x14ac:dyDescent="0.3">
      <c r="A716" s="4" t="s">
        <v>91</v>
      </c>
    </row>
    <row r="717" spans="1:9" x14ac:dyDescent="0.3">
      <c r="A717" s="4" t="s">
        <v>92</v>
      </c>
    </row>
    <row r="718" spans="1:9" x14ac:dyDescent="0.3">
      <c r="A718" s="4" t="s">
        <v>93</v>
      </c>
    </row>
    <row r="719" spans="1:9" x14ac:dyDescent="0.3">
      <c r="A719" s="4" t="s">
        <v>94</v>
      </c>
    </row>
    <row r="720" spans="1:9" x14ac:dyDescent="0.3">
      <c r="A720" s="4" t="s">
        <v>95</v>
      </c>
    </row>
    <row r="721" spans="1:37" x14ac:dyDescent="0.3">
      <c r="A721" s="4" t="s">
        <v>96</v>
      </c>
    </row>
    <row r="722" spans="1:37" x14ac:dyDescent="0.3">
      <c r="A722" s="4" t="s">
        <v>97</v>
      </c>
    </row>
    <row r="723" spans="1:37" x14ac:dyDescent="0.3">
      <c r="A723" s="4" t="s">
        <v>98</v>
      </c>
    </row>
    <row r="724" spans="1:37" x14ac:dyDescent="0.3">
      <c r="A724" s="4" t="s">
        <v>99</v>
      </c>
    </row>
    <row r="725" spans="1:37" x14ac:dyDescent="0.3">
      <c r="A725" s="4" t="s">
        <v>100</v>
      </c>
    </row>
    <row r="726" spans="1:37" x14ac:dyDescent="0.3">
      <c r="A726" s="4" t="s">
        <v>101</v>
      </c>
    </row>
    <row r="727" spans="1:37" x14ac:dyDescent="0.3">
      <c r="A727" s="4" t="s">
        <v>102</v>
      </c>
    </row>
    <row r="728" spans="1:37" x14ac:dyDescent="0.3">
      <c r="A728" s="4" t="s">
        <v>103</v>
      </c>
    </row>
    <row r="729" spans="1:37" x14ac:dyDescent="0.3">
      <c r="A729" s="4" t="s">
        <v>104</v>
      </c>
    </row>
    <row r="730" spans="1:37" x14ac:dyDescent="0.3">
      <c r="A730" s="4" t="s">
        <v>105</v>
      </c>
    </row>
    <row r="731" spans="1:37" x14ac:dyDescent="0.3">
      <c r="A731" s="4" t="s">
        <v>106</v>
      </c>
    </row>
    <row r="732" spans="1:37" x14ac:dyDescent="0.3">
      <c r="A732" s="4" t="s">
        <v>107</v>
      </c>
    </row>
    <row r="736" spans="1:37" x14ac:dyDescent="0.3">
      <c r="A736">
        <v>5</v>
      </c>
      <c r="B736" s="4" t="s">
        <v>72</v>
      </c>
      <c r="C736" s="4" t="s">
        <v>73</v>
      </c>
      <c r="D736" s="4" t="s">
        <v>74</v>
      </c>
      <c r="E736" s="4" t="s">
        <v>75</v>
      </c>
      <c r="F736" s="4" t="s">
        <v>76</v>
      </c>
      <c r="G736" s="4" t="s">
        <v>77</v>
      </c>
      <c r="H736" s="4" t="s">
        <v>78</v>
      </c>
      <c r="I736" s="4" t="s">
        <v>79</v>
      </c>
      <c r="J736" s="4" t="s">
        <v>80</v>
      </c>
      <c r="K736" s="4" t="s">
        <v>81</v>
      </c>
      <c r="L736" s="4" t="s">
        <v>82</v>
      </c>
      <c r="M736" s="4" t="s">
        <v>83</v>
      </c>
      <c r="N736" s="4" t="s">
        <v>84</v>
      </c>
      <c r="O736" s="4" t="s">
        <v>85</v>
      </c>
      <c r="P736" s="4" t="s">
        <v>86</v>
      </c>
      <c r="Q736" s="4" t="s">
        <v>87</v>
      </c>
      <c r="R736" s="4" t="s">
        <v>88</v>
      </c>
      <c r="S736" s="4" t="s">
        <v>89</v>
      </c>
      <c r="T736" s="4" t="s">
        <v>90</v>
      </c>
      <c r="U736" s="4" t="s">
        <v>91</v>
      </c>
      <c r="V736" s="4" t="s">
        <v>92</v>
      </c>
      <c r="W736" s="4" t="s">
        <v>93</v>
      </c>
      <c r="X736" s="4" t="s">
        <v>94</v>
      </c>
      <c r="Y736" s="4" t="s">
        <v>95</v>
      </c>
      <c r="Z736" s="4" t="s">
        <v>96</v>
      </c>
      <c r="AA736" s="4" t="s">
        <v>97</v>
      </c>
      <c r="AB736" s="4" t="s">
        <v>98</v>
      </c>
      <c r="AC736" s="4" t="s">
        <v>99</v>
      </c>
      <c r="AD736" s="4" t="s">
        <v>100</v>
      </c>
      <c r="AE736" s="4" t="s">
        <v>101</v>
      </c>
      <c r="AF736" s="4" t="s">
        <v>102</v>
      </c>
      <c r="AG736" s="4" t="s">
        <v>103</v>
      </c>
      <c r="AH736" s="4" t="s">
        <v>104</v>
      </c>
      <c r="AI736" s="4" t="s">
        <v>105</v>
      </c>
      <c r="AJ736" s="4" t="s">
        <v>106</v>
      </c>
      <c r="AK736" s="4" t="s">
        <v>107</v>
      </c>
    </row>
    <row r="737" spans="1:15" x14ac:dyDescent="0.3">
      <c r="A737" s="4" t="s">
        <v>48</v>
      </c>
    </row>
    <row r="738" spans="1:15" x14ac:dyDescent="0.3">
      <c r="A738" s="4" t="s">
        <v>49</v>
      </c>
    </row>
    <row r="739" spans="1:15" x14ac:dyDescent="0.3">
      <c r="A739" s="4" t="s">
        <v>50</v>
      </c>
      <c r="B739" s="4"/>
    </row>
    <row r="740" spans="1:15" x14ac:dyDescent="0.3">
      <c r="A740" s="4" t="s">
        <v>66</v>
      </c>
    </row>
    <row r="741" spans="1:15" x14ac:dyDescent="0.3">
      <c r="A741" s="4" t="s">
        <v>67</v>
      </c>
    </row>
    <row r="742" spans="1:15" x14ac:dyDescent="0.3">
      <c r="A742" s="4" t="s">
        <v>68</v>
      </c>
    </row>
    <row r="743" spans="1:15" x14ac:dyDescent="0.3">
      <c r="A743" s="4" t="s">
        <v>69</v>
      </c>
    </row>
    <row r="744" spans="1:15" x14ac:dyDescent="0.3">
      <c r="A744" s="4" t="s">
        <v>70</v>
      </c>
      <c r="B744" s="4"/>
    </row>
    <row r="745" spans="1:15" x14ac:dyDescent="0.3">
      <c r="A745" s="4" t="s">
        <v>71</v>
      </c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 x14ac:dyDescent="0.3">
      <c r="A746" s="4" t="s">
        <v>72</v>
      </c>
    </row>
    <row r="747" spans="1:15" x14ac:dyDescent="0.3">
      <c r="A747" s="4" t="s">
        <v>73</v>
      </c>
    </row>
    <row r="748" spans="1:15" x14ac:dyDescent="0.3">
      <c r="A748" s="4" t="s">
        <v>74</v>
      </c>
      <c r="B748" s="5"/>
    </row>
    <row r="749" spans="1:15" x14ac:dyDescent="0.3">
      <c r="A749" s="4" t="s">
        <v>75</v>
      </c>
    </row>
    <row r="750" spans="1:15" x14ac:dyDescent="0.3">
      <c r="A750" s="4" t="s">
        <v>76</v>
      </c>
    </row>
    <row r="751" spans="1:15" x14ac:dyDescent="0.3">
      <c r="A751" s="4" t="s">
        <v>77</v>
      </c>
    </row>
    <row r="752" spans="1:15" x14ac:dyDescent="0.3">
      <c r="A752" s="4" t="s">
        <v>78</v>
      </c>
    </row>
    <row r="753" spans="1:15" x14ac:dyDescent="0.3">
      <c r="A753" s="4" t="s">
        <v>79</v>
      </c>
      <c r="I753" s="5"/>
      <c r="K753" s="5"/>
      <c r="L753" s="5"/>
      <c r="M753" s="5"/>
      <c r="N753" s="5"/>
      <c r="O753" s="5"/>
    </row>
    <row r="754" spans="1:15" x14ac:dyDescent="0.3">
      <c r="A754" s="4" t="s">
        <v>80</v>
      </c>
    </row>
    <row r="755" spans="1:15" x14ac:dyDescent="0.3">
      <c r="A755" s="4" t="s">
        <v>81</v>
      </c>
    </row>
    <row r="756" spans="1:15" x14ac:dyDescent="0.3">
      <c r="A756" s="4" t="s">
        <v>82</v>
      </c>
      <c r="B756" s="5"/>
    </row>
    <row r="757" spans="1:15" x14ac:dyDescent="0.3">
      <c r="A757" s="4" t="s">
        <v>83</v>
      </c>
    </row>
    <row r="758" spans="1:15" x14ac:dyDescent="0.3">
      <c r="A758" s="4" t="s">
        <v>84</v>
      </c>
    </row>
    <row r="759" spans="1:15" x14ac:dyDescent="0.3">
      <c r="A759" s="4" t="s">
        <v>85</v>
      </c>
    </row>
    <row r="760" spans="1:15" x14ac:dyDescent="0.3">
      <c r="A760" s="4" t="s">
        <v>86</v>
      </c>
      <c r="I760" s="5"/>
    </row>
    <row r="761" spans="1:15" x14ac:dyDescent="0.3">
      <c r="A761" s="4" t="s">
        <v>87</v>
      </c>
    </row>
    <row r="762" spans="1:15" x14ac:dyDescent="0.3">
      <c r="A762" s="4" t="s">
        <v>88</v>
      </c>
    </row>
    <row r="763" spans="1:15" x14ac:dyDescent="0.3">
      <c r="A763" s="4" t="s">
        <v>89</v>
      </c>
    </row>
    <row r="764" spans="1:15" x14ac:dyDescent="0.3">
      <c r="A764" s="4" t="s">
        <v>90</v>
      </c>
    </row>
    <row r="765" spans="1:15" x14ac:dyDescent="0.3">
      <c r="A765" s="4" t="s">
        <v>91</v>
      </c>
    </row>
    <row r="766" spans="1:15" x14ac:dyDescent="0.3">
      <c r="A766" s="4" t="s">
        <v>92</v>
      </c>
    </row>
    <row r="767" spans="1:15" x14ac:dyDescent="0.3">
      <c r="A767" s="4" t="s">
        <v>93</v>
      </c>
    </row>
    <row r="768" spans="1:15" x14ac:dyDescent="0.3">
      <c r="A768" s="4" t="s">
        <v>94</v>
      </c>
    </row>
    <row r="769" spans="1:1" x14ac:dyDescent="0.3">
      <c r="A769" s="4" t="s">
        <v>95</v>
      </c>
    </row>
    <row r="770" spans="1:1" x14ac:dyDescent="0.3">
      <c r="A770" s="4" t="s">
        <v>96</v>
      </c>
    </row>
    <row r="771" spans="1:1" x14ac:dyDescent="0.3">
      <c r="A771" s="4" t="s">
        <v>97</v>
      </c>
    </row>
    <row r="772" spans="1:1" x14ac:dyDescent="0.3">
      <c r="A772" s="4" t="s">
        <v>98</v>
      </c>
    </row>
    <row r="773" spans="1:1" x14ac:dyDescent="0.3">
      <c r="A773" s="4" t="s">
        <v>99</v>
      </c>
    </row>
    <row r="774" spans="1:1" x14ac:dyDescent="0.3">
      <c r="A774" s="4" t="s">
        <v>100</v>
      </c>
    </row>
    <row r="775" spans="1:1" x14ac:dyDescent="0.3">
      <c r="A775" s="4" t="s">
        <v>101</v>
      </c>
    </row>
    <row r="776" spans="1:1" x14ac:dyDescent="0.3">
      <c r="A776" s="4" t="s">
        <v>102</v>
      </c>
    </row>
    <row r="777" spans="1:1" x14ac:dyDescent="0.3">
      <c r="A777" s="4" t="s">
        <v>103</v>
      </c>
    </row>
    <row r="778" spans="1:1" x14ac:dyDescent="0.3">
      <c r="A778" s="4" t="s">
        <v>104</v>
      </c>
    </row>
    <row r="779" spans="1:1" x14ac:dyDescent="0.3">
      <c r="A779" s="4" t="s">
        <v>105</v>
      </c>
    </row>
    <row r="780" spans="1:1" x14ac:dyDescent="0.3">
      <c r="A780" s="4" t="s">
        <v>106</v>
      </c>
    </row>
    <row r="781" spans="1:1" x14ac:dyDescent="0.3">
      <c r="A781" s="4" t="s">
        <v>107</v>
      </c>
    </row>
    <row r="785" spans="1:37" x14ac:dyDescent="0.3">
      <c r="A785">
        <v>5</v>
      </c>
      <c r="B785" s="4" t="s">
        <v>72</v>
      </c>
      <c r="C785" s="4" t="s">
        <v>73</v>
      </c>
      <c r="D785" s="4" t="s">
        <v>74</v>
      </c>
      <c r="E785" s="4" t="s">
        <v>75</v>
      </c>
      <c r="F785" s="4" t="s">
        <v>76</v>
      </c>
      <c r="G785" s="4" t="s">
        <v>77</v>
      </c>
      <c r="H785" s="4" t="s">
        <v>78</v>
      </c>
      <c r="I785" s="4" t="s">
        <v>79</v>
      </c>
      <c r="J785" s="4" t="s">
        <v>80</v>
      </c>
      <c r="K785" s="4" t="s">
        <v>81</v>
      </c>
      <c r="L785" s="4" t="s">
        <v>82</v>
      </c>
      <c r="M785" s="4" t="s">
        <v>83</v>
      </c>
      <c r="N785" s="4" t="s">
        <v>84</v>
      </c>
      <c r="O785" s="4" t="s">
        <v>85</v>
      </c>
      <c r="P785" s="4" t="s">
        <v>86</v>
      </c>
      <c r="Q785" s="4" t="s">
        <v>87</v>
      </c>
      <c r="R785" s="4" t="s">
        <v>88</v>
      </c>
      <c r="S785" s="4" t="s">
        <v>89</v>
      </c>
      <c r="T785" s="4" t="s">
        <v>90</v>
      </c>
      <c r="U785" s="4" t="s">
        <v>91</v>
      </c>
      <c r="V785" s="4" t="s">
        <v>92</v>
      </c>
      <c r="W785" s="4" t="s">
        <v>93</v>
      </c>
      <c r="X785" s="4" t="s">
        <v>94</v>
      </c>
      <c r="Y785" s="4" t="s">
        <v>95</v>
      </c>
      <c r="Z785" s="4" t="s">
        <v>96</v>
      </c>
      <c r="AA785" s="4" t="s">
        <v>97</v>
      </c>
      <c r="AB785" s="4" t="s">
        <v>98</v>
      </c>
      <c r="AC785" s="4" t="s">
        <v>99</v>
      </c>
      <c r="AD785" s="4" t="s">
        <v>100</v>
      </c>
      <c r="AE785" s="4" t="s">
        <v>101</v>
      </c>
      <c r="AF785" s="4" t="s">
        <v>102</v>
      </c>
      <c r="AG785" s="4" t="s">
        <v>103</v>
      </c>
      <c r="AH785" s="4" t="s">
        <v>104</v>
      </c>
      <c r="AI785" s="4" t="s">
        <v>105</v>
      </c>
      <c r="AJ785" s="4" t="s">
        <v>106</v>
      </c>
      <c r="AK785" s="4" t="s">
        <v>107</v>
      </c>
    </row>
    <row r="786" spans="1:37" x14ac:dyDescent="0.3">
      <c r="A786" s="4" t="s">
        <v>48</v>
      </c>
    </row>
    <row r="787" spans="1:37" x14ac:dyDescent="0.3">
      <c r="A787" s="4" t="s">
        <v>49</v>
      </c>
    </row>
    <row r="788" spans="1:37" x14ac:dyDescent="0.3">
      <c r="A788" s="4" t="s">
        <v>50</v>
      </c>
      <c r="B788" s="4"/>
    </row>
    <row r="789" spans="1:37" x14ac:dyDescent="0.3">
      <c r="A789" s="4" t="s">
        <v>66</v>
      </c>
    </row>
    <row r="790" spans="1:37" x14ac:dyDescent="0.3">
      <c r="A790" s="4" t="s">
        <v>67</v>
      </c>
    </row>
    <row r="791" spans="1:37" x14ac:dyDescent="0.3">
      <c r="A791" s="4" t="s">
        <v>68</v>
      </c>
    </row>
    <row r="792" spans="1:37" x14ac:dyDescent="0.3">
      <c r="A792" s="4" t="s">
        <v>69</v>
      </c>
    </row>
    <row r="793" spans="1:37" x14ac:dyDescent="0.3">
      <c r="A793" s="4" t="s">
        <v>70</v>
      </c>
      <c r="B793" s="4"/>
    </row>
    <row r="794" spans="1:37" x14ac:dyDescent="0.3">
      <c r="A794" s="4" t="s">
        <v>71</v>
      </c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37" x14ac:dyDescent="0.3">
      <c r="A795" s="4" t="s">
        <v>72</v>
      </c>
    </row>
    <row r="796" spans="1:37" x14ac:dyDescent="0.3">
      <c r="A796" s="4" t="s">
        <v>73</v>
      </c>
    </row>
    <row r="797" spans="1:37" x14ac:dyDescent="0.3">
      <c r="A797" s="4" t="s">
        <v>74</v>
      </c>
      <c r="B797" s="5"/>
    </row>
    <row r="798" spans="1:37" x14ac:dyDescent="0.3">
      <c r="A798" s="4" t="s">
        <v>75</v>
      </c>
    </row>
    <row r="799" spans="1:37" x14ac:dyDescent="0.3">
      <c r="A799" s="4" t="s">
        <v>76</v>
      </c>
    </row>
    <row r="800" spans="1:37" x14ac:dyDescent="0.3">
      <c r="A800" s="4" t="s">
        <v>77</v>
      </c>
    </row>
    <row r="801" spans="1:15" x14ac:dyDescent="0.3">
      <c r="A801" s="4" t="s">
        <v>78</v>
      </c>
    </row>
    <row r="802" spans="1:15" x14ac:dyDescent="0.3">
      <c r="A802" s="4" t="s">
        <v>79</v>
      </c>
      <c r="I802" s="5"/>
      <c r="K802" s="5"/>
      <c r="L802" s="5"/>
      <c r="M802" s="5"/>
      <c r="N802" s="5"/>
      <c r="O802" s="5"/>
    </row>
    <row r="803" spans="1:15" x14ac:dyDescent="0.3">
      <c r="A803" s="4" t="s">
        <v>80</v>
      </c>
    </row>
    <row r="804" spans="1:15" x14ac:dyDescent="0.3">
      <c r="A804" s="4" t="s">
        <v>81</v>
      </c>
    </row>
    <row r="805" spans="1:15" x14ac:dyDescent="0.3">
      <c r="A805" s="4" t="s">
        <v>82</v>
      </c>
      <c r="B805" s="5"/>
    </row>
    <row r="806" spans="1:15" x14ac:dyDescent="0.3">
      <c r="A806" s="4" t="s">
        <v>83</v>
      </c>
    </row>
    <row r="807" spans="1:15" x14ac:dyDescent="0.3">
      <c r="A807" s="4" t="s">
        <v>84</v>
      </c>
    </row>
    <row r="808" spans="1:15" x14ac:dyDescent="0.3">
      <c r="A808" s="4" t="s">
        <v>85</v>
      </c>
    </row>
    <row r="809" spans="1:15" x14ac:dyDescent="0.3">
      <c r="A809" s="4" t="s">
        <v>86</v>
      </c>
      <c r="I809" s="5"/>
    </row>
    <row r="810" spans="1:15" x14ac:dyDescent="0.3">
      <c r="A810" s="4" t="s">
        <v>87</v>
      </c>
    </row>
    <row r="811" spans="1:15" x14ac:dyDescent="0.3">
      <c r="A811" s="4" t="s">
        <v>88</v>
      </c>
    </row>
    <row r="812" spans="1:15" x14ac:dyDescent="0.3">
      <c r="A812" s="4" t="s">
        <v>89</v>
      </c>
    </row>
    <row r="813" spans="1:15" x14ac:dyDescent="0.3">
      <c r="A813" s="4" t="s">
        <v>90</v>
      </c>
    </row>
    <row r="814" spans="1:15" x14ac:dyDescent="0.3">
      <c r="A814" s="4" t="s">
        <v>91</v>
      </c>
    </row>
    <row r="815" spans="1:15" x14ac:dyDescent="0.3">
      <c r="A815" s="4" t="s">
        <v>92</v>
      </c>
    </row>
    <row r="816" spans="1:15" x14ac:dyDescent="0.3">
      <c r="A816" s="4" t="s">
        <v>93</v>
      </c>
    </row>
    <row r="817" spans="1:1" x14ac:dyDescent="0.3">
      <c r="A817" s="4" t="s">
        <v>94</v>
      </c>
    </row>
    <row r="818" spans="1:1" x14ac:dyDescent="0.3">
      <c r="A818" s="4" t="s">
        <v>95</v>
      </c>
    </row>
    <row r="819" spans="1:1" x14ac:dyDescent="0.3">
      <c r="A819" s="4" t="s">
        <v>96</v>
      </c>
    </row>
    <row r="820" spans="1:1" x14ac:dyDescent="0.3">
      <c r="A820" s="4" t="s">
        <v>97</v>
      </c>
    </row>
    <row r="821" spans="1:1" x14ac:dyDescent="0.3">
      <c r="A821" s="4" t="s">
        <v>98</v>
      </c>
    </row>
    <row r="822" spans="1:1" x14ac:dyDescent="0.3">
      <c r="A822" s="4" t="s">
        <v>99</v>
      </c>
    </row>
    <row r="823" spans="1:1" x14ac:dyDescent="0.3">
      <c r="A823" s="4" t="s">
        <v>100</v>
      </c>
    </row>
    <row r="824" spans="1:1" x14ac:dyDescent="0.3">
      <c r="A824" s="4" t="s">
        <v>101</v>
      </c>
    </row>
    <row r="825" spans="1:1" x14ac:dyDescent="0.3">
      <c r="A825" s="4" t="s">
        <v>102</v>
      </c>
    </row>
    <row r="826" spans="1:1" x14ac:dyDescent="0.3">
      <c r="A826" s="4" t="s">
        <v>103</v>
      </c>
    </row>
    <row r="827" spans="1:1" x14ac:dyDescent="0.3">
      <c r="A827" s="4" t="s">
        <v>104</v>
      </c>
    </row>
    <row r="828" spans="1:1" x14ac:dyDescent="0.3">
      <c r="A828" s="4" t="s">
        <v>105</v>
      </c>
    </row>
    <row r="829" spans="1:1" x14ac:dyDescent="0.3">
      <c r="A829" s="4" t="s">
        <v>106</v>
      </c>
    </row>
    <row r="830" spans="1:1" x14ac:dyDescent="0.3">
      <c r="A830" s="4" t="s">
        <v>107</v>
      </c>
    </row>
    <row r="834" spans="1:37" x14ac:dyDescent="0.3">
      <c r="A834">
        <v>5</v>
      </c>
      <c r="B834" s="4" t="s">
        <v>72</v>
      </c>
      <c r="C834" s="4" t="s">
        <v>73</v>
      </c>
      <c r="D834" s="4" t="s">
        <v>74</v>
      </c>
      <c r="E834" s="4" t="s">
        <v>75</v>
      </c>
      <c r="F834" s="4" t="s">
        <v>76</v>
      </c>
      <c r="G834" s="4" t="s">
        <v>77</v>
      </c>
      <c r="H834" s="4" t="s">
        <v>78</v>
      </c>
      <c r="I834" s="4" t="s">
        <v>79</v>
      </c>
      <c r="J834" s="4" t="s">
        <v>80</v>
      </c>
      <c r="K834" s="4" t="s">
        <v>81</v>
      </c>
      <c r="L834" s="4" t="s">
        <v>82</v>
      </c>
      <c r="M834" s="4" t="s">
        <v>83</v>
      </c>
      <c r="N834" s="4" t="s">
        <v>84</v>
      </c>
      <c r="O834" s="4" t="s">
        <v>85</v>
      </c>
      <c r="P834" s="4" t="s">
        <v>86</v>
      </c>
      <c r="Q834" s="4" t="s">
        <v>87</v>
      </c>
      <c r="R834" s="4" t="s">
        <v>88</v>
      </c>
      <c r="S834" s="4" t="s">
        <v>89</v>
      </c>
      <c r="T834" s="4" t="s">
        <v>90</v>
      </c>
      <c r="U834" s="4" t="s">
        <v>91</v>
      </c>
      <c r="V834" s="4" t="s">
        <v>92</v>
      </c>
      <c r="W834" s="4" t="s">
        <v>93</v>
      </c>
      <c r="X834" s="4" t="s">
        <v>94</v>
      </c>
      <c r="Y834" s="4" t="s">
        <v>95</v>
      </c>
      <c r="Z834" s="4" t="s">
        <v>96</v>
      </c>
      <c r="AA834" s="4" t="s">
        <v>97</v>
      </c>
      <c r="AB834" s="4" t="s">
        <v>98</v>
      </c>
      <c r="AC834" s="4" t="s">
        <v>99</v>
      </c>
      <c r="AD834" s="4" t="s">
        <v>100</v>
      </c>
      <c r="AE834" s="4" t="s">
        <v>101</v>
      </c>
      <c r="AF834" s="4" t="s">
        <v>102</v>
      </c>
      <c r="AG834" s="4" t="s">
        <v>103</v>
      </c>
      <c r="AH834" s="4" t="s">
        <v>104</v>
      </c>
      <c r="AI834" s="4" t="s">
        <v>105</v>
      </c>
      <c r="AJ834" s="4" t="s">
        <v>106</v>
      </c>
      <c r="AK834" s="4" t="s">
        <v>107</v>
      </c>
    </row>
    <row r="835" spans="1:37" x14ac:dyDescent="0.3">
      <c r="A835" s="4" t="s">
        <v>48</v>
      </c>
    </row>
    <row r="836" spans="1:37" x14ac:dyDescent="0.3">
      <c r="A836" s="4" t="s">
        <v>49</v>
      </c>
    </row>
    <row r="837" spans="1:37" x14ac:dyDescent="0.3">
      <c r="A837" s="4" t="s">
        <v>50</v>
      </c>
      <c r="B837" s="4"/>
    </row>
    <row r="838" spans="1:37" x14ac:dyDescent="0.3">
      <c r="A838" s="4" t="s">
        <v>66</v>
      </c>
    </row>
    <row r="839" spans="1:37" x14ac:dyDescent="0.3">
      <c r="A839" s="4" t="s">
        <v>67</v>
      </c>
    </row>
    <row r="840" spans="1:37" x14ac:dyDescent="0.3">
      <c r="A840" s="4" t="s">
        <v>68</v>
      </c>
    </row>
    <row r="841" spans="1:37" x14ac:dyDescent="0.3">
      <c r="A841" s="4" t="s">
        <v>69</v>
      </c>
    </row>
    <row r="842" spans="1:37" x14ac:dyDescent="0.3">
      <c r="A842" s="4" t="s">
        <v>70</v>
      </c>
      <c r="B842" s="4"/>
    </row>
    <row r="843" spans="1:37" x14ac:dyDescent="0.3">
      <c r="A843" s="4" t="s">
        <v>71</v>
      </c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37" x14ac:dyDescent="0.3">
      <c r="A844" s="4" t="s">
        <v>72</v>
      </c>
    </row>
    <row r="845" spans="1:37" x14ac:dyDescent="0.3">
      <c r="A845" s="4" t="s">
        <v>73</v>
      </c>
    </row>
    <row r="846" spans="1:37" x14ac:dyDescent="0.3">
      <c r="A846" s="4" t="s">
        <v>74</v>
      </c>
      <c r="B846" s="5"/>
    </row>
    <row r="847" spans="1:37" x14ac:dyDescent="0.3">
      <c r="A847" s="4" t="s">
        <v>75</v>
      </c>
    </row>
    <row r="848" spans="1:37" x14ac:dyDescent="0.3">
      <c r="A848" s="4" t="s">
        <v>76</v>
      </c>
    </row>
    <row r="849" spans="1:15" x14ac:dyDescent="0.3">
      <c r="A849" s="4" t="s">
        <v>77</v>
      </c>
    </row>
    <row r="850" spans="1:15" x14ac:dyDescent="0.3">
      <c r="A850" s="4" t="s">
        <v>78</v>
      </c>
    </row>
    <row r="851" spans="1:15" x14ac:dyDescent="0.3">
      <c r="A851" s="4" t="s">
        <v>79</v>
      </c>
      <c r="I851" s="5"/>
      <c r="K851" s="5"/>
      <c r="L851" s="5"/>
      <c r="M851" s="5"/>
      <c r="N851" s="5"/>
      <c r="O851" s="5"/>
    </row>
    <row r="852" spans="1:15" x14ac:dyDescent="0.3">
      <c r="A852" s="4" t="s">
        <v>80</v>
      </c>
    </row>
    <row r="853" spans="1:15" x14ac:dyDescent="0.3">
      <c r="A853" s="4" t="s">
        <v>81</v>
      </c>
    </row>
    <row r="854" spans="1:15" x14ac:dyDescent="0.3">
      <c r="A854" s="4" t="s">
        <v>82</v>
      </c>
      <c r="B854" s="5"/>
    </row>
    <row r="855" spans="1:15" x14ac:dyDescent="0.3">
      <c r="A855" s="4" t="s">
        <v>83</v>
      </c>
    </row>
    <row r="856" spans="1:15" x14ac:dyDescent="0.3">
      <c r="A856" s="4" t="s">
        <v>84</v>
      </c>
    </row>
    <row r="857" spans="1:15" x14ac:dyDescent="0.3">
      <c r="A857" s="4" t="s">
        <v>85</v>
      </c>
    </row>
    <row r="858" spans="1:15" x14ac:dyDescent="0.3">
      <c r="A858" s="4" t="s">
        <v>86</v>
      </c>
      <c r="I858" s="5"/>
    </row>
    <row r="859" spans="1:15" x14ac:dyDescent="0.3">
      <c r="A859" s="4" t="s">
        <v>87</v>
      </c>
    </row>
    <row r="860" spans="1:15" x14ac:dyDescent="0.3">
      <c r="A860" s="4" t="s">
        <v>88</v>
      </c>
    </row>
    <row r="861" spans="1:15" x14ac:dyDescent="0.3">
      <c r="A861" s="4" t="s">
        <v>89</v>
      </c>
    </row>
    <row r="862" spans="1:15" x14ac:dyDescent="0.3">
      <c r="A862" s="4" t="s">
        <v>90</v>
      </c>
    </row>
    <row r="863" spans="1:15" x14ac:dyDescent="0.3">
      <c r="A863" s="4" t="s">
        <v>91</v>
      </c>
    </row>
    <row r="864" spans="1:15" x14ac:dyDescent="0.3">
      <c r="A864" s="4" t="s">
        <v>92</v>
      </c>
    </row>
    <row r="865" spans="1:1" x14ac:dyDescent="0.3">
      <c r="A865" s="4" t="s">
        <v>93</v>
      </c>
    </row>
    <row r="866" spans="1:1" x14ac:dyDescent="0.3">
      <c r="A866" s="4" t="s">
        <v>94</v>
      </c>
    </row>
    <row r="867" spans="1:1" x14ac:dyDescent="0.3">
      <c r="A867" s="4" t="s">
        <v>95</v>
      </c>
    </row>
    <row r="868" spans="1:1" x14ac:dyDescent="0.3">
      <c r="A868" s="4" t="s">
        <v>96</v>
      </c>
    </row>
    <row r="869" spans="1:1" x14ac:dyDescent="0.3">
      <c r="A869" s="4" t="s">
        <v>97</v>
      </c>
    </row>
    <row r="870" spans="1:1" x14ac:dyDescent="0.3">
      <c r="A870" s="4" t="s">
        <v>98</v>
      </c>
    </row>
    <row r="871" spans="1:1" x14ac:dyDescent="0.3">
      <c r="A871" s="4" t="s">
        <v>99</v>
      </c>
    </row>
    <row r="872" spans="1:1" x14ac:dyDescent="0.3">
      <c r="A872" s="4" t="s">
        <v>100</v>
      </c>
    </row>
    <row r="873" spans="1:1" x14ac:dyDescent="0.3">
      <c r="A873" s="4" t="s">
        <v>101</v>
      </c>
    </row>
    <row r="874" spans="1:1" x14ac:dyDescent="0.3">
      <c r="A874" s="4" t="s">
        <v>102</v>
      </c>
    </row>
    <row r="875" spans="1:1" x14ac:dyDescent="0.3">
      <c r="A875" s="4" t="s">
        <v>103</v>
      </c>
    </row>
    <row r="876" spans="1:1" x14ac:dyDescent="0.3">
      <c r="A876" s="4" t="s">
        <v>104</v>
      </c>
    </row>
    <row r="877" spans="1:1" x14ac:dyDescent="0.3">
      <c r="A877" s="4" t="s">
        <v>105</v>
      </c>
    </row>
    <row r="878" spans="1:1" x14ac:dyDescent="0.3">
      <c r="A878" s="4" t="s">
        <v>106</v>
      </c>
    </row>
    <row r="879" spans="1:1" x14ac:dyDescent="0.3">
      <c r="A879" s="4" t="s">
        <v>107</v>
      </c>
    </row>
    <row r="883" spans="1:37" x14ac:dyDescent="0.3">
      <c r="A883">
        <v>5</v>
      </c>
      <c r="B883" s="4" t="s">
        <v>72</v>
      </c>
      <c r="C883" s="4" t="s">
        <v>73</v>
      </c>
      <c r="D883" s="4" t="s">
        <v>74</v>
      </c>
      <c r="E883" s="4" t="s">
        <v>75</v>
      </c>
      <c r="F883" s="4" t="s">
        <v>76</v>
      </c>
      <c r="G883" s="4" t="s">
        <v>77</v>
      </c>
      <c r="H883" s="4" t="s">
        <v>78</v>
      </c>
      <c r="I883" s="4" t="s">
        <v>79</v>
      </c>
      <c r="J883" s="4" t="s">
        <v>80</v>
      </c>
      <c r="K883" s="4" t="s">
        <v>81</v>
      </c>
      <c r="L883" s="4" t="s">
        <v>82</v>
      </c>
      <c r="M883" s="4" t="s">
        <v>83</v>
      </c>
      <c r="N883" s="4" t="s">
        <v>84</v>
      </c>
      <c r="O883" s="4" t="s">
        <v>85</v>
      </c>
      <c r="P883" s="4" t="s">
        <v>86</v>
      </c>
      <c r="Q883" s="4" t="s">
        <v>87</v>
      </c>
      <c r="R883" s="4" t="s">
        <v>88</v>
      </c>
      <c r="S883" s="4" t="s">
        <v>89</v>
      </c>
      <c r="T883" s="4" t="s">
        <v>90</v>
      </c>
      <c r="U883" s="4" t="s">
        <v>91</v>
      </c>
      <c r="V883" s="4" t="s">
        <v>92</v>
      </c>
      <c r="W883" s="4" t="s">
        <v>93</v>
      </c>
      <c r="X883" s="4" t="s">
        <v>94</v>
      </c>
      <c r="Y883" s="4" t="s">
        <v>95</v>
      </c>
      <c r="Z883" s="4" t="s">
        <v>96</v>
      </c>
      <c r="AA883" s="4" t="s">
        <v>97</v>
      </c>
      <c r="AB883" s="4" t="s">
        <v>98</v>
      </c>
      <c r="AC883" s="4" t="s">
        <v>99</v>
      </c>
      <c r="AD883" s="4" t="s">
        <v>100</v>
      </c>
      <c r="AE883" s="4" t="s">
        <v>101</v>
      </c>
      <c r="AF883" s="4" t="s">
        <v>102</v>
      </c>
      <c r="AG883" s="4" t="s">
        <v>103</v>
      </c>
      <c r="AH883" s="4" t="s">
        <v>104</v>
      </c>
      <c r="AI883" s="4" t="s">
        <v>105</v>
      </c>
      <c r="AJ883" s="4" t="s">
        <v>106</v>
      </c>
      <c r="AK883" s="4" t="s">
        <v>107</v>
      </c>
    </row>
    <row r="884" spans="1:37" x14ac:dyDescent="0.3">
      <c r="A884" s="4" t="s">
        <v>48</v>
      </c>
    </row>
    <row r="885" spans="1:37" x14ac:dyDescent="0.3">
      <c r="A885" s="4" t="s">
        <v>49</v>
      </c>
    </row>
    <row r="886" spans="1:37" x14ac:dyDescent="0.3">
      <c r="A886" s="4" t="s">
        <v>50</v>
      </c>
      <c r="B886" s="4"/>
    </row>
    <row r="887" spans="1:37" x14ac:dyDescent="0.3">
      <c r="A887" s="4" t="s">
        <v>66</v>
      </c>
    </row>
    <row r="888" spans="1:37" x14ac:dyDescent="0.3">
      <c r="A888" s="4" t="s">
        <v>67</v>
      </c>
    </row>
    <row r="889" spans="1:37" x14ac:dyDescent="0.3">
      <c r="A889" s="4" t="s">
        <v>68</v>
      </c>
    </row>
    <row r="890" spans="1:37" x14ac:dyDescent="0.3">
      <c r="A890" s="4" t="s">
        <v>69</v>
      </c>
    </row>
    <row r="891" spans="1:37" x14ac:dyDescent="0.3">
      <c r="A891" s="4" t="s">
        <v>70</v>
      </c>
      <c r="B891" s="4"/>
    </row>
    <row r="892" spans="1:37" x14ac:dyDescent="0.3">
      <c r="A892" s="4" t="s">
        <v>71</v>
      </c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37" x14ac:dyDescent="0.3">
      <c r="A893" s="4" t="s">
        <v>72</v>
      </c>
    </row>
    <row r="894" spans="1:37" x14ac:dyDescent="0.3">
      <c r="A894" s="4" t="s">
        <v>73</v>
      </c>
    </row>
    <row r="895" spans="1:37" x14ac:dyDescent="0.3">
      <c r="A895" s="4" t="s">
        <v>74</v>
      </c>
      <c r="B895" s="5"/>
    </row>
    <row r="896" spans="1:37" x14ac:dyDescent="0.3">
      <c r="A896" s="4" t="s">
        <v>75</v>
      </c>
    </row>
    <row r="897" spans="1:15" x14ac:dyDescent="0.3">
      <c r="A897" s="4" t="s">
        <v>76</v>
      </c>
    </row>
    <row r="898" spans="1:15" x14ac:dyDescent="0.3">
      <c r="A898" s="4" t="s">
        <v>77</v>
      </c>
    </row>
    <row r="899" spans="1:15" x14ac:dyDescent="0.3">
      <c r="A899" s="4" t="s">
        <v>78</v>
      </c>
    </row>
    <row r="900" spans="1:15" x14ac:dyDescent="0.3">
      <c r="A900" s="4" t="s">
        <v>79</v>
      </c>
      <c r="I900" s="5"/>
      <c r="K900" s="5"/>
      <c r="L900" s="5"/>
      <c r="M900" s="5"/>
      <c r="N900" s="5"/>
      <c r="O900" s="5"/>
    </row>
    <row r="901" spans="1:15" x14ac:dyDescent="0.3">
      <c r="A901" s="4" t="s">
        <v>80</v>
      </c>
    </row>
    <row r="902" spans="1:15" x14ac:dyDescent="0.3">
      <c r="A902" s="4" t="s">
        <v>81</v>
      </c>
    </row>
    <row r="903" spans="1:15" x14ac:dyDescent="0.3">
      <c r="A903" s="4" t="s">
        <v>82</v>
      </c>
      <c r="B903" s="5"/>
    </row>
    <row r="904" spans="1:15" x14ac:dyDescent="0.3">
      <c r="A904" s="4" t="s">
        <v>83</v>
      </c>
    </row>
    <row r="905" spans="1:15" x14ac:dyDescent="0.3">
      <c r="A905" s="4" t="s">
        <v>84</v>
      </c>
    </row>
    <row r="906" spans="1:15" x14ac:dyDescent="0.3">
      <c r="A906" s="4" t="s">
        <v>85</v>
      </c>
    </row>
    <row r="907" spans="1:15" x14ac:dyDescent="0.3">
      <c r="A907" s="4" t="s">
        <v>86</v>
      </c>
      <c r="I907" s="5"/>
    </row>
    <row r="908" spans="1:15" x14ac:dyDescent="0.3">
      <c r="A908" s="4" t="s">
        <v>87</v>
      </c>
    </row>
    <row r="909" spans="1:15" x14ac:dyDescent="0.3">
      <c r="A909" s="4" t="s">
        <v>88</v>
      </c>
    </row>
    <row r="910" spans="1:15" x14ac:dyDescent="0.3">
      <c r="A910" s="4" t="s">
        <v>89</v>
      </c>
    </row>
    <row r="911" spans="1:15" x14ac:dyDescent="0.3">
      <c r="A911" s="4" t="s">
        <v>90</v>
      </c>
    </row>
    <row r="912" spans="1:15" x14ac:dyDescent="0.3">
      <c r="A912" s="4" t="s">
        <v>91</v>
      </c>
    </row>
    <row r="913" spans="1:1" x14ac:dyDescent="0.3">
      <c r="A913" s="4" t="s">
        <v>92</v>
      </c>
    </row>
    <row r="914" spans="1:1" x14ac:dyDescent="0.3">
      <c r="A914" s="4" t="s">
        <v>93</v>
      </c>
    </row>
    <row r="915" spans="1:1" x14ac:dyDescent="0.3">
      <c r="A915" s="4" t="s">
        <v>94</v>
      </c>
    </row>
    <row r="916" spans="1:1" x14ac:dyDescent="0.3">
      <c r="A916" s="4" t="s">
        <v>95</v>
      </c>
    </row>
    <row r="917" spans="1:1" x14ac:dyDescent="0.3">
      <c r="A917" s="4" t="s">
        <v>96</v>
      </c>
    </row>
    <row r="918" spans="1:1" x14ac:dyDescent="0.3">
      <c r="A918" s="4" t="s">
        <v>97</v>
      </c>
    </row>
    <row r="919" spans="1:1" x14ac:dyDescent="0.3">
      <c r="A919" s="4" t="s">
        <v>98</v>
      </c>
    </row>
    <row r="920" spans="1:1" x14ac:dyDescent="0.3">
      <c r="A920" s="4" t="s">
        <v>99</v>
      </c>
    </row>
    <row r="921" spans="1:1" x14ac:dyDescent="0.3">
      <c r="A921" s="4" t="s">
        <v>100</v>
      </c>
    </row>
    <row r="922" spans="1:1" x14ac:dyDescent="0.3">
      <c r="A922" s="4" t="s">
        <v>101</v>
      </c>
    </row>
    <row r="923" spans="1:1" x14ac:dyDescent="0.3">
      <c r="A923" s="4" t="s">
        <v>102</v>
      </c>
    </row>
    <row r="924" spans="1:1" x14ac:dyDescent="0.3">
      <c r="A924" s="4" t="s">
        <v>103</v>
      </c>
    </row>
    <row r="925" spans="1:1" x14ac:dyDescent="0.3">
      <c r="A925" s="4" t="s">
        <v>104</v>
      </c>
    </row>
    <row r="926" spans="1:1" x14ac:dyDescent="0.3">
      <c r="A926" s="4" t="s">
        <v>105</v>
      </c>
    </row>
    <row r="927" spans="1:1" x14ac:dyDescent="0.3">
      <c r="A927" s="4" t="s">
        <v>106</v>
      </c>
    </row>
    <row r="928" spans="1:1" x14ac:dyDescent="0.3">
      <c r="A928" s="4" t="s">
        <v>107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C6C92-1EF6-4996-B634-F79E0EAEEA07}">
  <sheetPr codeName="Sheet3"/>
  <dimension ref="A2:T43"/>
  <sheetViews>
    <sheetView topLeftCell="A19" workbookViewId="0">
      <selection activeCell="I14" sqref="I14"/>
    </sheetView>
  </sheetViews>
  <sheetFormatPr defaultRowHeight="14.4" x14ac:dyDescent="0.3"/>
  <sheetData>
    <row r="2" spans="1:20" x14ac:dyDescent="0.3">
      <c r="A2" t="s">
        <v>133</v>
      </c>
      <c r="R2" t="s">
        <v>150</v>
      </c>
    </row>
    <row r="3" spans="1:20" x14ac:dyDescent="0.3">
      <c r="B3" t="s">
        <v>120</v>
      </c>
      <c r="S3">
        <v>2333</v>
      </c>
      <c r="T3" t="s">
        <v>151</v>
      </c>
    </row>
    <row r="4" spans="1:20" x14ac:dyDescent="0.3">
      <c r="C4" t="s">
        <v>126</v>
      </c>
      <c r="S4" t="s">
        <v>153</v>
      </c>
      <c r="T4" t="s">
        <v>152</v>
      </c>
    </row>
    <row r="5" spans="1:20" x14ac:dyDescent="0.3">
      <c r="D5" t="s">
        <v>122</v>
      </c>
    </row>
    <row r="6" spans="1:20" x14ac:dyDescent="0.3">
      <c r="C6" t="s">
        <v>127</v>
      </c>
    </row>
    <row r="7" spans="1:20" x14ac:dyDescent="0.3">
      <c r="D7" t="s">
        <v>124</v>
      </c>
    </row>
    <row r="8" spans="1:20" x14ac:dyDescent="0.3">
      <c r="C8" t="s">
        <v>128</v>
      </c>
    </row>
    <row r="9" spans="1:20" x14ac:dyDescent="0.3">
      <c r="D9" t="s">
        <v>121</v>
      </c>
    </row>
    <row r="10" spans="1:20" x14ac:dyDescent="0.3">
      <c r="C10" t="s">
        <v>129</v>
      </c>
    </row>
    <row r="11" spans="1:20" x14ac:dyDescent="0.3">
      <c r="D11" t="s">
        <v>123</v>
      </c>
    </row>
    <row r="13" spans="1:20" x14ac:dyDescent="0.3">
      <c r="B13" t="s">
        <v>125</v>
      </c>
    </row>
    <row r="14" spans="1:20" x14ac:dyDescent="0.3">
      <c r="C14" t="s">
        <v>130</v>
      </c>
    </row>
    <row r="15" spans="1:20" x14ac:dyDescent="0.3">
      <c r="C15" t="s">
        <v>131</v>
      </c>
    </row>
    <row r="17" spans="1:4" x14ac:dyDescent="0.3">
      <c r="B17" t="s">
        <v>132</v>
      </c>
    </row>
    <row r="19" spans="1:4" x14ac:dyDescent="0.3">
      <c r="B19" t="s">
        <v>160</v>
      </c>
    </row>
    <row r="20" spans="1:4" x14ac:dyDescent="0.3">
      <c r="B20" t="s">
        <v>161</v>
      </c>
    </row>
    <row r="22" spans="1:4" x14ac:dyDescent="0.3">
      <c r="A22" t="s">
        <v>134</v>
      </c>
    </row>
    <row r="23" spans="1:4" x14ac:dyDescent="0.3">
      <c r="B23" t="s">
        <v>135</v>
      </c>
    </row>
    <row r="24" spans="1:4" x14ac:dyDescent="0.3">
      <c r="B24" t="s">
        <v>136</v>
      </c>
    </row>
    <row r="25" spans="1:4" x14ac:dyDescent="0.3">
      <c r="C25" t="s">
        <v>137</v>
      </c>
    </row>
    <row r="26" spans="1:4" x14ac:dyDescent="0.3">
      <c r="C26" s="22" t="s">
        <v>140</v>
      </c>
      <c r="D26" t="s">
        <v>143</v>
      </c>
    </row>
    <row r="27" spans="1:4" x14ac:dyDescent="0.3">
      <c r="C27" s="22"/>
      <c r="D27" t="s">
        <v>144</v>
      </c>
    </row>
    <row r="28" spans="1:4" x14ac:dyDescent="0.3">
      <c r="C28" s="22"/>
      <c r="D28" t="s">
        <v>145</v>
      </c>
    </row>
    <row r="29" spans="1:4" x14ac:dyDescent="0.3">
      <c r="C29" s="22" t="s">
        <v>141</v>
      </c>
      <c r="D29" t="s">
        <v>138</v>
      </c>
    </row>
    <row r="30" spans="1:4" x14ac:dyDescent="0.3">
      <c r="C30" s="22"/>
      <c r="D30" t="s">
        <v>142</v>
      </c>
    </row>
    <row r="31" spans="1:4" x14ac:dyDescent="0.3">
      <c r="C31" s="22"/>
      <c r="D31" t="s">
        <v>139</v>
      </c>
    </row>
    <row r="33" spans="3:4" x14ac:dyDescent="0.3">
      <c r="C33" t="s">
        <v>158</v>
      </c>
    </row>
    <row r="34" spans="3:4" x14ac:dyDescent="0.3">
      <c r="C34" s="22" t="s">
        <v>140</v>
      </c>
      <c r="D34" t="s">
        <v>146</v>
      </c>
    </row>
    <row r="35" spans="3:4" x14ac:dyDescent="0.3">
      <c r="C35" s="22"/>
      <c r="D35" t="s">
        <v>147</v>
      </c>
    </row>
    <row r="36" spans="3:4" x14ac:dyDescent="0.3">
      <c r="C36" s="22"/>
    </row>
    <row r="37" spans="3:4" x14ac:dyDescent="0.3">
      <c r="C37" s="22" t="s">
        <v>141</v>
      </c>
      <c r="D37" t="s">
        <v>138</v>
      </c>
    </row>
    <row r="38" spans="3:4" x14ac:dyDescent="0.3">
      <c r="C38" s="22"/>
      <c r="D38" t="s">
        <v>142</v>
      </c>
    </row>
    <row r="39" spans="3:4" x14ac:dyDescent="0.3">
      <c r="C39" s="22"/>
      <c r="D39" t="s">
        <v>139</v>
      </c>
    </row>
    <row r="41" spans="3:4" x14ac:dyDescent="0.3">
      <c r="C41" t="s">
        <v>148</v>
      </c>
    </row>
    <row r="43" spans="3:4" x14ac:dyDescent="0.3">
      <c r="C43" t="s">
        <v>149</v>
      </c>
    </row>
  </sheetData>
  <mergeCells count="4">
    <mergeCell ref="C29:C31"/>
    <mergeCell ref="C26:C28"/>
    <mergeCell ref="C34:C36"/>
    <mergeCell ref="C37:C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08250-91AD-4E07-A846-0EA145E490C9}">
  <sheetPr codeName="Sheet4"/>
  <dimension ref="A3:CV311"/>
  <sheetViews>
    <sheetView zoomScaleNormal="100" workbookViewId="0">
      <selection activeCell="V14" sqref="V14"/>
    </sheetView>
  </sheetViews>
  <sheetFormatPr defaultRowHeight="14.4" x14ac:dyDescent="0.3"/>
  <sheetData>
    <row r="3" spans="1:17" ht="15" thickBot="1" x14ac:dyDescent="0.35">
      <c r="O3" t="s">
        <v>186</v>
      </c>
    </row>
    <row r="4" spans="1:17" ht="15" thickBot="1" x14ac:dyDescent="0.35">
      <c r="A4" t="s">
        <v>169</v>
      </c>
      <c r="C4" s="16" t="s">
        <v>170</v>
      </c>
      <c r="D4" s="17" t="s">
        <v>171</v>
      </c>
      <c r="E4" s="17" t="s">
        <v>173</v>
      </c>
      <c r="F4" s="18" t="s">
        <v>172</v>
      </c>
      <c r="P4" t="s">
        <v>187</v>
      </c>
    </row>
    <row r="5" spans="1:17" x14ac:dyDescent="0.3">
      <c r="C5" s="13">
        <v>2</v>
      </c>
      <c r="D5" s="14">
        <v>3</v>
      </c>
      <c r="E5" s="14">
        <v>3</v>
      </c>
      <c r="F5" s="15">
        <v>3</v>
      </c>
      <c r="Q5" t="s">
        <v>188</v>
      </c>
    </row>
    <row r="6" spans="1:17" x14ac:dyDescent="0.3">
      <c r="C6" s="7">
        <v>0</v>
      </c>
      <c r="D6" s="8">
        <v>0</v>
      </c>
      <c r="E6" s="8">
        <v>0</v>
      </c>
      <c r="F6" s="9">
        <v>0</v>
      </c>
    </row>
    <row r="7" spans="1:17" x14ac:dyDescent="0.3">
      <c r="C7" s="7">
        <v>0</v>
      </c>
      <c r="D7" s="8">
        <v>1</v>
      </c>
      <c r="E7" s="8">
        <v>1</v>
      </c>
      <c r="F7" s="9">
        <v>1</v>
      </c>
      <c r="Q7" t="s">
        <v>189</v>
      </c>
    </row>
    <row r="8" spans="1:17" ht="15" thickBot="1" x14ac:dyDescent="0.35">
      <c r="C8" s="7">
        <v>1</v>
      </c>
      <c r="D8" s="8">
        <v>0</v>
      </c>
      <c r="E8" s="8">
        <v>0</v>
      </c>
      <c r="F8" s="9">
        <v>0</v>
      </c>
    </row>
    <row r="9" spans="1:17" ht="15" thickBot="1" x14ac:dyDescent="0.35">
      <c r="C9" s="6">
        <v>0</v>
      </c>
      <c r="D9" s="19"/>
      <c r="E9" s="20"/>
      <c r="F9" s="21"/>
      <c r="Q9" t="s">
        <v>190</v>
      </c>
    </row>
    <row r="11" spans="1:17" ht="15" thickBot="1" x14ac:dyDescent="0.35">
      <c r="A11" t="s">
        <v>168</v>
      </c>
      <c r="C11" t="s">
        <v>179</v>
      </c>
      <c r="G11" t="s">
        <v>180</v>
      </c>
    </row>
    <row r="12" spans="1:17" ht="15" thickBot="1" x14ac:dyDescent="0.35">
      <c r="C12" s="16" t="s">
        <v>175</v>
      </c>
      <c r="D12" s="17" t="s">
        <v>174</v>
      </c>
      <c r="E12" s="18" t="s">
        <v>3</v>
      </c>
      <c r="G12" s="16" t="s">
        <v>175</v>
      </c>
      <c r="H12" s="17" t="s">
        <v>174</v>
      </c>
      <c r="I12" s="18" t="s">
        <v>3</v>
      </c>
    </row>
    <row r="13" spans="1:17" x14ac:dyDescent="0.3">
      <c r="C13" s="13"/>
      <c r="D13" s="14"/>
      <c r="E13" s="15"/>
      <c r="G13" s="13" t="s">
        <v>208</v>
      </c>
      <c r="H13" s="14" t="s">
        <v>209</v>
      </c>
      <c r="I13" s="15" t="s">
        <v>210</v>
      </c>
      <c r="O13" t="s">
        <v>191</v>
      </c>
    </row>
    <row r="14" spans="1:17" x14ac:dyDescent="0.3">
      <c r="C14" s="7">
        <v>0</v>
      </c>
      <c r="D14" s="8">
        <v>0.10135305369736042</v>
      </c>
      <c r="E14" s="9">
        <v>0.99979745575757351</v>
      </c>
      <c r="G14" s="7">
        <v>0</v>
      </c>
      <c r="H14" s="8">
        <v>0</v>
      </c>
      <c r="I14" s="9">
        <v>1</v>
      </c>
    </row>
    <row r="15" spans="1:17" ht="15" thickBot="1" x14ac:dyDescent="0.35">
      <c r="C15" s="10">
        <v>0.99999999996964672</v>
      </c>
      <c r="D15" s="11">
        <v>0.99998001581502616</v>
      </c>
      <c r="E15" s="12">
        <v>0.9999697425357903</v>
      </c>
      <c r="G15" s="10">
        <v>1</v>
      </c>
      <c r="H15" s="11">
        <v>1</v>
      </c>
      <c r="I15" s="12">
        <v>0</v>
      </c>
    </row>
    <row r="17" spans="1:30" x14ac:dyDescent="0.3">
      <c r="B17" t="s">
        <v>183</v>
      </c>
      <c r="C17" t="s">
        <v>184</v>
      </c>
      <c r="D17" t="s">
        <v>185</v>
      </c>
    </row>
    <row r="18" spans="1:30" x14ac:dyDescent="0.3">
      <c r="A18" t="s">
        <v>181</v>
      </c>
      <c r="B18">
        <v>1.0102119689044124</v>
      </c>
      <c r="C18">
        <v>673.2074227063581</v>
      </c>
      <c r="D18">
        <v>355</v>
      </c>
    </row>
    <row r="19" spans="1:30" x14ac:dyDescent="0.3">
      <c r="B19">
        <v>1.8963589372010088</v>
      </c>
      <c r="S19" t="s">
        <v>196</v>
      </c>
      <c r="V19" t="s">
        <v>202</v>
      </c>
      <c r="Z19" t="s">
        <v>204</v>
      </c>
      <c r="AD19" t="s">
        <v>205</v>
      </c>
    </row>
    <row r="20" spans="1:30" x14ac:dyDescent="0.3">
      <c r="A20" t="s">
        <v>182</v>
      </c>
    </row>
    <row r="21" spans="1:30" x14ac:dyDescent="0.3">
      <c r="S21" t="s">
        <v>192</v>
      </c>
      <c r="V21" t="s">
        <v>197</v>
      </c>
      <c r="Z21" t="s">
        <v>197</v>
      </c>
      <c r="AD21" t="s">
        <v>197</v>
      </c>
    </row>
    <row r="22" spans="1:30" x14ac:dyDescent="0.3">
      <c r="S22" t="s">
        <v>193</v>
      </c>
      <c r="V22" t="s">
        <v>198</v>
      </c>
      <c r="Z22" t="s">
        <v>198</v>
      </c>
      <c r="AD22" t="s">
        <v>198</v>
      </c>
    </row>
    <row r="23" spans="1:30" x14ac:dyDescent="0.3">
      <c r="S23" t="s">
        <v>194</v>
      </c>
      <c r="V23" t="s">
        <v>199</v>
      </c>
      <c r="Z23">
        <v>1</v>
      </c>
      <c r="AD23" t="s">
        <v>206</v>
      </c>
    </row>
    <row r="25" spans="1:30" x14ac:dyDescent="0.3">
      <c r="V25" t="s">
        <v>195</v>
      </c>
      <c r="Z25" t="s">
        <v>203</v>
      </c>
      <c r="AD25" t="s">
        <v>207</v>
      </c>
    </row>
    <row r="27" spans="1:30" x14ac:dyDescent="0.3">
      <c r="V27" t="s">
        <v>200</v>
      </c>
    </row>
    <row r="28" spans="1:30" x14ac:dyDescent="0.3">
      <c r="V28" t="s">
        <v>201</v>
      </c>
    </row>
    <row r="100" spans="1:100" x14ac:dyDescent="0.3">
      <c r="A100">
        <v>0.47</v>
      </c>
      <c r="B100">
        <v>0.52</v>
      </c>
      <c r="C100">
        <v>0.77</v>
      </c>
      <c r="D100">
        <v>0.39</v>
      </c>
      <c r="E100">
        <v>0.93</v>
      </c>
      <c r="F100">
        <v>7.0000000000000007E-2</v>
      </c>
      <c r="G100">
        <v>0.85</v>
      </c>
      <c r="H100">
        <v>7.0000000000000007E-2</v>
      </c>
      <c r="I100">
        <v>0.02</v>
      </c>
      <c r="J100">
        <v>0.75</v>
      </c>
      <c r="K100">
        <v>0.51</v>
      </c>
      <c r="L100">
        <v>0.16</v>
      </c>
      <c r="CV100">
        <v>-9</v>
      </c>
    </row>
    <row r="101" spans="1:100" x14ac:dyDescent="0.3">
      <c r="A101">
        <v>0.23</v>
      </c>
      <c r="B101">
        <v>0.74</v>
      </c>
      <c r="C101">
        <v>0.62</v>
      </c>
      <c r="D101">
        <v>0.52</v>
      </c>
      <c r="E101">
        <v>0.01</v>
      </c>
      <c r="F101">
        <v>0.31</v>
      </c>
      <c r="G101">
        <v>0.74</v>
      </c>
      <c r="H101">
        <v>0.32</v>
      </c>
      <c r="I101">
        <v>0.47</v>
      </c>
      <c r="J101">
        <v>0.61</v>
      </c>
      <c r="K101">
        <v>0.42</v>
      </c>
      <c r="L101">
        <v>0.3</v>
      </c>
      <c r="CV101">
        <v>9</v>
      </c>
    </row>
    <row r="102" spans="1:100" x14ac:dyDescent="0.3">
      <c r="A102">
        <v>0.85</v>
      </c>
      <c r="B102">
        <v>0.71</v>
      </c>
      <c r="C102">
        <v>0.68</v>
      </c>
      <c r="D102">
        <v>0.14000000000000001</v>
      </c>
      <c r="E102">
        <v>0.97</v>
      </c>
      <c r="F102">
        <v>0.46</v>
      </c>
      <c r="G102">
        <v>0.49</v>
      </c>
      <c r="H102">
        <v>0.78</v>
      </c>
      <c r="I102">
        <v>0.42</v>
      </c>
      <c r="J102">
        <v>0.79</v>
      </c>
      <c r="K102">
        <v>0.62</v>
      </c>
      <c r="L102">
        <v>0.16</v>
      </c>
      <c r="CV102">
        <v>-4</v>
      </c>
    </row>
    <row r="103" spans="1:100" x14ac:dyDescent="0.3">
      <c r="A103">
        <v>0.14000000000000001</v>
      </c>
      <c r="B103">
        <v>0.38</v>
      </c>
      <c r="C103">
        <v>0.08</v>
      </c>
      <c r="D103">
        <v>0.24</v>
      </c>
      <c r="E103">
        <v>0.06</v>
      </c>
      <c r="F103">
        <v>0.3</v>
      </c>
      <c r="G103">
        <v>0.51</v>
      </c>
      <c r="H103">
        <v>0</v>
      </c>
      <c r="I103">
        <v>0.61</v>
      </c>
      <c r="J103">
        <v>0.91</v>
      </c>
      <c r="K103">
        <v>0.33</v>
      </c>
      <c r="L103">
        <v>0.03</v>
      </c>
      <c r="CV103">
        <v>3</v>
      </c>
    </row>
    <row r="104" spans="1:100" x14ac:dyDescent="0.3">
      <c r="A104">
        <v>0.56999999999999995</v>
      </c>
      <c r="B104">
        <v>0.48</v>
      </c>
      <c r="C104">
        <v>0.7</v>
      </c>
      <c r="D104">
        <v>0.41</v>
      </c>
      <c r="E104">
        <v>0.82</v>
      </c>
      <c r="F104">
        <v>0.8</v>
      </c>
      <c r="G104">
        <v>0.39</v>
      </c>
      <c r="H104">
        <v>0.85</v>
      </c>
      <c r="I104">
        <v>0.67</v>
      </c>
      <c r="J104">
        <v>0.32</v>
      </c>
      <c r="K104">
        <v>0.13</v>
      </c>
      <c r="L104">
        <v>0.24</v>
      </c>
      <c r="CV104">
        <v>1</v>
      </c>
    </row>
    <row r="105" spans="1:100" x14ac:dyDescent="0.3">
      <c r="A105">
        <v>0.28999999999999998</v>
      </c>
      <c r="B105">
        <v>0.64</v>
      </c>
      <c r="C105">
        <v>0.13</v>
      </c>
      <c r="D105">
        <v>0.45</v>
      </c>
      <c r="E105">
        <v>0.67</v>
      </c>
      <c r="F105">
        <v>0.01</v>
      </c>
      <c r="G105">
        <v>0.82</v>
      </c>
      <c r="H105">
        <v>0.24</v>
      </c>
      <c r="I105">
        <v>0.78</v>
      </c>
      <c r="J105">
        <v>0.04</v>
      </c>
      <c r="K105">
        <v>0.85</v>
      </c>
      <c r="L105">
        <v>0.9</v>
      </c>
      <c r="CV105">
        <v>3</v>
      </c>
    </row>
    <row r="106" spans="1:100" x14ac:dyDescent="0.3">
      <c r="A106">
        <v>0.86</v>
      </c>
      <c r="B106">
        <v>0.7</v>
      </c>
      <c r="C106">
        <v>0.88</v>
      </c>
      <c r="D106">
        <v>0.59</v>
      </c>
      <c r="E106">
        <v>0.79</v>
      </c>
      <c r="F106">
        <v>0.63</v>
      </c>
      <c r="G106">
        <v>0.99</v>
      </c>
      <c r="H106">
        <v>0.47</v>
      </c>
      <c r="I106">
        <v>0.4</v>
      </c>
      <c r="J106">
        <v>0.63</v>
      </c>
      <c r="K106">
        <v>0.72</v>
      </c>
      <c r="L106">
        <v>0.9</v>
      </c>
      <c r="CV106">
        <v>-2</v>
      </c>
    </row>
    <row r="107" spans="1:100" x14ac:dyDescent="0.3">
      <c r="A107">
        <v>0.55000000000000004</v>
      </c>
      <c r="B107">
        <v>0.15</v>
      </c>
      <c r="C107">
        <v>0.95</v>
      </c>
      <c r="D107">
        <v>0.28000000000000003</v>
      </c>
      <c r="E107">
        <v>0.64</v>
      </c>
      <c r="F107">
        <v>0.26</v>
      </c>
      <c r="G107">
        <v>0.94</v>
      </c>
      <c r="H107">
        <v>0.39</v>
      </c>
      <c r="I107">
        <v>0.05</v>
      </c>
      <c r="J107">
        <v>0.4</v>
      </c>
      <c r="K107">
        <v>0.81</v>
      </c>
      <c r="L107">
        <v>0.16</v>
      </c>
      <c r="CV107">
        <v>6</v>
      </c>
    </row>
    <row r="108" spans="1:100" x14ac:dyDescent="0.3">
      <c r="A108">
        <v>0.44</v>
      </c>
      <c r="B108">
        <v>0.75</v>
      </c>
      <c r="C108">
        <v>0.22</v>
      </c>
      <c r="D108">
        <v>0.4</v>
      </c>
      <c r="E108">
        <v>0.37</v>
      </c>
      <c r="F108">
        <v>0.52</v>
      </c>
      <c r="G108">
        <v>0.69</v>
      </c>
      <c r="H108">
        <v>0.35</v>
      </c>
      <c r="I108">
        <v>0.77</v>
      </c>
      <c r="J108">
        <v>0.74</v>
      </c>
      <c r="K108">
        <v>0.73</v>
      </c>
      <c r="L108">
        <v>0.65</v>
      </c>
      <c r="CV108">
        <v>-4</v>
      </c>
    </row>
    <row r="109" spans="1:100" x14ac:dyDescent="0.3">
      <c r="A109">
        <v>0.9</v>
      </c>
      <c r="B109">
        <v>0.56999999999999995</v>
      </c>
      <c r="C109">
        <v>0.65</v>
      </c>
      <c r="D109">
        <v>0.9</v>
      </c>
      <c r="E109">
        <v>0.38</v>
      </c>
      <c r="F109">
        <v>0.67</v>
      </c>
      <c r="G109">
        <v>0.75</v>
      </c>
      <c r="H109">
        <v>0.72</v>
      </c>
      <c r="I109">
        <v>0.78</v>
      </c>
      <c r="J109">
        <v>0.42</v>
      </c>
      <c r="K109">
        <v>0.14000000000000001</v>
      </c>
      <c r="L109">
        <v>0.97</v>
      </c>
      <c r="CV109">
        <v>-2</v>
      </c>
    </row>
    <row r="110" spans="1:100" x14ac:dyDescent="0.3">
      <c r="A110">
        <v>0.74</v>
      </c>
      <c r="B110">
        <v>0.42</v>
      </c>
      <c r="C110">
        <v>0.42</v>
      </c>
      <c r="D110">
        <v>0.41</v>
      </c>
      <c r="E110">
        <v>0.46</v>
      </c>
      <c r="F110">
        <v>0.76</v>
      </c>
      <c r="G110">
        <v>0.87</v>
      </c>
      <c r="H110">
        <v>0.64</v>
      </c>
      <c r="I110">
        <v>0.38</v>
      </c>
      <c r="J110">
        <v>0.57999999999999996</v>
      </c>
      <c r="K110">
        <v>0.26</v>
      </c>
      <c r="L110">
        <v>0.86</v>
      </c>
      <c r="CV110">
        <v>6</v>
      </c>
    </row>
    <row r="111" spans="1:100" x14ac:dyDescent="0.3">
      <c r="A111">
        <v>0.7</v>
      </c>
      <c r="B111">
        <v>0.99</v>
      </c>
      <c r="C111">
        <v>0.6</v>
      </c>
      <c r="D111">
        <v>0.2</v>
      </c>
      <c r="E111">
        <v>0.06</v>
      </c>
      <c r="F111">
        <v>0.7</v>
      </c>
      <c r="G111">
        <v>0.38</v>
      </c>
      <c r="H111">
        <v>0.81</v>
      </c>
      <c r="I111">
        <v>0.69</v>
      </c>
      <c r="J111">
        <v>0.32</v>
      </c>
      <c r="K111">
        <v>0</v>
      </c>
      <c r="L111">
        <v>0.96</v>
      </c>
      <c r="CV111">
        <v>-3</v>
      </c>
    </row>
    <row r="112" spans="1:100" x14ac:dyDescent="0.3">
      <c r="A112">
        <v>0.45</v>
      </c>
      <c r="B112">
        <v>0.55000000000000004</v>
      </c>
      <c r="C112">
        <v>0.46</v>
      </c>
      <c r="D112">
        <v>0.01</v>
      </c>
      <c r="E112">
        <v>0.5</v>
      </c>
      <c r="F112">
        <v>0.56999999999999995</v>
      </c>
      <c r="G112">
        <v>0.56999999999999995</v>
      </c>
      <c r="H112">
        <v>0.16</v>
      </c>
      <c r="I112">
        <v>0.39</v>
      </c>
      <c r="J112">
        <v>0.06</v>
      </c>
      <c r="K112">
        <v>1</v>
      </c>
      <c r="L112">
        <v>0.87</v>
      </c>
    </row>
    <row r="200" spans="1:100" x14ac:dyDescent="0.3">
      <c r="A200">
        <v>0.86</v>
      </c>
      <c r="B200">
        <v>0.79</v>
      </c>
      <c r="C200">
        <v>0.3</v>
      </c>
      <c r="D200">
        <v>0.41</v>
      </c>
      <c r="E200">
        <v>0.45</v>
      </c>
      <c r="F200">
        <v>0.14000000000000001</v>
      </c>
      <c r="G200">
        <v>0.16</v>
      </c>
      <c r="H200">
        <v>0.6</v>
      </c>
      <c r="I200">
        <v>0.22</v>
      </c>
      <c r="J200">
        <v>0.21</v>
      </c>
      <c r="K200">
        <v>0.66</v>
      </c>
      <c r="L200">
        <v>0.4</v>
      </c>
      <c r="CV200">
        <v>0</v>
      </c>
    </row>
    <row r="201" spans="1:100" x14ac:dyDescent="0.3">
      <c r="A201">
        <v>0.77</v>
      </c>
      <c r="B201">
        <v>0.05</v>
      </c>
      <c r="C201">
        <v>0.42</v>
      </c>
      <c r="D201">
        <v>0.74</v>
      </c>
      <c r="E201">
        <v>0.56000000000000005</v>
      </c>
      <c r="F201">
        <v>0.37</v>
      </c>
      <c r="G201">
        <v>0.15</v>
      </c>
      <c r="H201">
        <v>0.1</v>
      </c>
      <c r="I201">
        <v>0.12</v>
      </c>
      <c r="J201">
        <v>7.0000000000000007E-2</v>
      </c>
      <c r="K201">
        <v>0.01</v>
      </c>
      <c r="L201">
        <v>0.44</v>
      </c>
      <c r="CV201">
        <v>-1</v>
      </c>
    </row>
    <row r="202" spans="1:100" x14ac:dyDescent="0.3">
      <c r="A202">
        <v>0.9</v>
      </c>
      <c r="B202">
        <v>0.73</v>
      </c>
      <c r="C202">
        <v>0.42</v>
      </c>
      <c r="D202">
        <v>0.26</v>
      </c>
      <c r="E202">
        <v>0.73</v>
      </c>
      <c r="F202">
        <v>0.15</v>
      </c>
      <c r="G202">
        <v>0.6</v>
      </c>
      <c r="H202">
        <v>0.01</v>
      </c>
      <c r="I202">
        <v>0.71</v>
      </c>
      <c r="J202">
        <v>0</v>
      </c>
      <c r="K202">
        <v>0.28000000000000003</v>
      </c>
      <c r="L202">
        <v>0.49</v>
      </c>
      <c r="CV202">
        <v>4</v>
      </c>
    </row>
    <row r="203" spans="1:100" x14ac:dyDescent="0.3">
      <c r="A203">
        <v>0.59</v>
      </c>
      <c r="B203">
        <v>0.19</v>
      </c>
      <c r="C203">
        <v>0.5</v>
      </c>
      <c r="D203">
        <v>0.45</v>
      </c>
      <c r="E203">
        <v>0.5</v>
      </c>
      <c r="F203">
        <v>0.91</v>
      </c>
      <c r="G203">
        <v>0</v>
      </c>
      <c r="H203">
        <v>0.67</v>
      </c>
      <c r="I203">
        <v>0.32</v>
      </c>
      <c r="J203">
        <v>0.98</v>
      </c>
      <c r="K203">
        <v>0.43</v>
      </c>
      <c r="L203">
        <v>0.48</v>
      </c>
      <c r="CV203">
        <v>-5</v>
      </c>
    </row>
    <row r="204" spans="1:100" x14ac:dyDescent="0.3">
      <c r="A204">
        <v>0.38</v>
      </c>
      <c r="B204">
        <v>0.42</v>
      </c>
      <c r="C204">
        <v>0.39</v>
      </c>
      <c r="D204">
        <v>0.63</v>
      </c>
      <c r="E204">
        <v>0.46</v>
      </c>
      <c r="F204">
        <v>0.36</v>
      </c>
      <c r="G204">
        <v>0.82</v>
      </c>
      <c r="H204">
        <v>0.44</v>
      </c>
      <c r="I204">
        <v>0.53</v>
      </c>
      <c r="J204">
        <v>0.62</v>
      </c>
      <c r="K204">
        <v>0.8</v>
      </c>
      <c r="L204">
        <v>0.39</v>
      </c>
      <c r="CV204">
        <v>-8</v>
      </c>
    </row>
    <row r="205" spans="1:100" x14ac:dyDescent="0.3">
      <c r="A205">
        <v>0.97</v>
      </c>
      <c r="B205">
        <v>0.65</v>
      </c>
      <c r="C205">
        <v>0.86</v>
      </c>
      <c r="D205">
        <v>0.31</v>
      </c>
      <c r="E205">
        <v>0.01</v>
      </c>
      <c r="F205">
        <v>0.32</v>
      </c>
      <c r="G205">
        <v>0.61</v>
      </c>
      <c r="H205">
        <v>0.51</v>
      </c>
      <c r="I205">
        <v>0.54</v>
      </c>
      <c r="J205">
        <v>0.04</v>
      </c>
      <c r="K205">
        <v>0.7</v>
      </c>
      <c r="L205">
        <v>0.23</v>
      </c>
      <c r="CV205">
        <v>-2</v>
      </c>
    </row>
    <row r="206" spans="1:100" x14ac:dyDescent="0.3">
      <c r="A206">
        <v>0.48</v>
      </c>
      <c r="B206">
        <v>0.84</v>
      </c>
      <c r="C206">
        <v>0.02</v>
      </c>
      <c r="D206">
        <v>0.82</v>
      </c>
      <c r="E206">
        <v>0.05</v>
      </c>
      <c r="F206">
        <v>0.16</v>
      </c>
      <c r="G206">
        <v>0.56000000000000005</v>
      </c>
      <c r="H206">
        <v>0.65</v>
      </c>
      <c r="I206">
        <v>0.01</v>
      </c>
      <c r="J206">
        <v>0.9</v>
      </c>
      <c r="K206">
        <v>0.9</v>
      </c>
      <c r="L206">
        <v>0.81</v>
      </c>
      <c r="CV206">
        <v>0</v>
      </c>
    </row>
    <row r="207" spans="1:100" x14ac:dyDescent="0.3">
      <c r="A207">
        <v>0.57999999999999996</v>
      </c>
      <c r="B207">
        <v>0.94</v>
      </c>
      <c r="C207">
        <v>0.23</v>
      </c>
      <c r="D207">
        <v>0.92</v>
      </c>
      <c r="E207">
        <v>0.97</v>
      </c>
      <c r="F207">
        <v>0.76</v>
      </c>
      <c r="G207">
        <v>0.71</v>
      </c>
      <c r="H207">
        <v>0.86</v>
      </c>
      <c r="I207">
        <v>0.71</v>
      </c>
      <c r="J207">
        <v>0.66</v>
      </c>
      <c r="K207">
        <v>1</v>
      </c>
      <c r="L207">
        <v>0.34</v>
      </c>
      <c r="CV207">
        <v>-7</v>
      </c>
    </row>
    <row r="208" spans="1:100" x14ac:dyDescent="0.3">
      <c r="A208">
        <v>0.27</v>
      </c>
      <c r="B208">
        <v>0.61</v>
      </c>
      <c r="C208">
        <v>0.4</v>
      </c>
      <c r="D208">
        <v>0.46</v>
      </c>
      <c r="E208">
        <v>0.56999999999999995</v>
      </c>
      <c r="F208">
        <v>0.59</v>
      </c>
      <c r="G208">
        <v>0.56000000000000005</v>
      </c>
      <c r="H208">
        <v>0.26</v>
      </c>
      <c r="I208">
        <v>0.97</v>
      </c>
      <c r="J208">
        <v>0.05</v>
      </c>
      <c r="K208">
        <v>0.23</v>
      </c>
      <c r="L208">
        <v>0.78</v>
      </c>
      <c r="CV208">
        <v>8</v>
      </c>
    </row>
    <row r="209" spans="1:100" x14ac:dyDescent="0.3">
      <c r="A209">
        <v>0.48</v>
      </c>
      <c r="B209">
        <v>0.05</v>
      </c>
      <c r="C209">
        <v>0.76</v>
      </c>
      <c r="D209">
        <v>0.96</v>
      </c>
      <c r="E209">
        <v>0.42</v>
      </c>
      <c r="F209">
        <v>0.7</v>
      </c>
      <c r="G209">
        <v>0.99</v>
      </c>
      <c r="H209">
        <v>0.63</v>
      </c>
      <c r="I209">
        <v>0.24</v>
      </c>
      <c r="J209">
        <v>0.05</v>
      </c>
      <c r="K209">
        <v>0.91</v>
      </c>
      <c r="L209">
        <v>0.33</v>
      </c>
      <c r="CV209">
        <v>2</v>
      </c>
    </row>
    <row r="210" spans="1:100" x14ac:dyDescent="0.3">
      <c r="A210">
        <v>0.06</v>
      </c>
      <c r="B210">
        <v>0.75</v>
      </c>
      <c r="C210">
        <v>0.52</v>
      </c>
      <c r="D210">
        <v>0.87</v>
      </c>
      <c r="E210">
        <v>0.59</v>
      </c>
      <c r="F210">
        <v>0.17</v>
      </c>
      <c r="G210">
        <v>0.89</v>
      </c>
      <c r="H210">
        <v>0.92</v>
      </c>
      <c r="I210">
        <v>0.23</v>
      </c>
      <c r="J210">
        <v>0.12</v>
      </c>
      <c r="K210">
        <v>0.14000000000000001</v>
      </c>
      <c r="L210">
        <v>0.46</v>
      </c>
      <c r="CV210">
        <v>-9</v>
      </c>
    </row>
    <row r="211" spans="1:100" x14ac:dyDescent="0.3">
      <c r="A211">
        <v>0.31</v>
      </c>
      <c r="B211">
        <v>0.31</v>
      </c>
      <c r="C211">
        <v>0.27</v>
      </c>
      <c r="D211">
        <v>0.27</v>
      </c>
      <c r="E211">
        <v>0.37</v>
      </c>
      <c r="F211">
        <v>0.68</v>
      </c>
      <c r="G211">
        <v>0.77</v>
      </c>
      <c r="H211">
        <v>7.0000000000000007E-2</v>
      </c>
      <c r="I211">
        <v>0.64</v>
      </c>
      <c r="J211">
        <v>0.65</v>
      </c>
      <c r="K211">
        <v>0.19</v>
      </c>
      <c r="L211">
        <v>0.94</v>
      </c>
      <c r="CV211">
        <v>-9</v>
      </c>
    </row>
    <row r="300" spans="1:100" x14ac:dyDescent="0.3">
      <c r="A300">
        <v>0.98</v>
      </c>
      <c r="B300">
        <v>0.25</v>
      </c>
      <c r="C300">
        <v>0.01</v>
      </c>
      <c r="D300">
        <v>0.53</v>
      </c>
      <c r="E300">
        <v>0.87</v>
      </c>
      <c r="F300">
        <v>0.11</v>
      </c>
      <c r="CV300">
        <v>-8</v>
      </c>
    </row>
    <row r="301" spans="1:100" x14ac:dyDescent="0.3">
      <c r="A301">
        <v>0.6</v>
      </c>
      <c r="B301">
        <v>0.87</v>
      </c>
      <c r="C301">
        <v>0.53</v>
      </c>
      <c r="D301">
        <v>0</v>
      </c>
      <c r="E301">
        <v>0.25</v>
      </c>
      <c r="F301">
        <v>0.71</v>
      </c>
      <c r="CV301">
        <v>4</v>
      </c>
    </row>
    <row r="302" spans="1:100" x14ac:dyDescent="0.3">
      <c r="A302">
        <v>0.38</v>
      </c>
      <c r="B302">
        <v>0.57999999999999996</v>
      </c>
      <c r="C302">
        <v>0.64</v>
      </c>
      <c r="D302">
        <v>0.05</v>
      </c>
      <c r="E302">
        <v>0.27</v>
      </c>
      <c r="F302">
        <v>0.83</v>
      </c>
      <c r="CV302">
        <v>-4</v>
      </c>
    </row>
    <row r="303" spans="1:100" x14ac:dyDescent="0.3">
      <c r="A303">
        <v>0.91</v>
      </c>
      <c r="B303">
        <v>0.13</v>
      </c>
      <c r="C303">
        <v>0.72</v>
      </c>
      <c r="D303">
        <v>0.36</v>
      </c>
      <c r="E303">
        <v>0.68</v>
      </c>
      <c r="F303">
        <v>0.28999999999999998</v>
      </c>
      <c r="CV303">
        <v>-1</v>
      </c>
    </row>
    <row r="304" spans="1:100" x14ac:dyDescent="0.3">
      <c r="A304">
        <v>0.53</v>
      </c>
      <c r="B304">
        <v>0.92</v>
      </c>
      <c r="C304">
        <v>0.23</v>
      </c>
      <c r="D304">
        <v>0.16</v>
      </c>
      <c r="E304">
        <v>0.9</v>
      </c>
      <c r="F304">
        <v>0.05</v>
      </c>
      <c r="CV304">
        <v>10</v>
      </c>
    </row>
    <row r="305" spans="1:100" x14ac:dyDescent="0.3">
      <c r="A305">
        <v>0.17</v>
      </c>
      <c r="B305">
        <v>0.28000000000000003</v>
      </c>
      <c r="C305">
        <v>0.54</v>
      </c>
      <c r="D305">
        <v>0.3</v>
      </c>
      <c r="E305">
        <v>0.65</v>
      </c>
      <c r="F305">
        <v>0.11</v>
      </c>
      <c r="CV305">
        <v>9</v>
      </c>
    </row>
    <row r="306" spans="1:100" x14ac:dyDescent="0.3">
      <c r="A306">
        <v>0.56000000000000005</v>
      </c>
      <c r="B306">
        <v>0.82</v>
      </c>
      <c r="C306">
        <v>0.16</v>
      </c>
      <c r="D306">
        <v>0.12</v>
      </c>
      <c r="E306">
        <v>0.89</v>
      </c>
      <c r="F306">
        <v>0.06</v>
      </c>
    </row>
    <row r="307" spans="1:100" x14ac:dyDescent="0.3">
      <c r="A307">
        <v>0.59</v>
      </c>
      <c r="B307">
        <v>0.32</v>
      </c>
      <c r="C307">
        <v>0.83</v>
      </c>
      <c r="D307">
        <v>0.1</v>
      </c>
      <c r="E307">
        <v>0.57999999999999996</v>
      </c>
      <c r="F307">
        <v>0.85</v>
      </c>
    </row>
    <row r="308" spans="1:100" x14ac:dyDescent="0.3">
      <c r="A308">
        <v>0.38</v>
      </c>
      <c r="B308">
        <v>0.4</v>
      </c>
      <c r="C308">
        <v>0.59</v>
      </c>
      <c r="D308">
        <v>0.5</v>
      </c>
      <c r="E308">
        <v>0</v>
      </c>
      <c r="F308">
        <v>0.06</v>
      </c>
    </row>
    <row r="309" spans="1:100" x14ac:dyDescent="0.3">
      <c r="A309">
        <v>0.59</v>
      </c>
      <c r="B309">
        <v>0.09</v>
      </c>
      <c r="C309">
        <v>0.28000000000000003</v>
      </c>
      <c r="D309">
        <v>0.36</v>
      </c>
      <c r="E309">
        <v>0.09</v>
      </c>
      <c r="F309">
        <v>0.08</v>
      </c>
    </row>
    <row r="310" spans="1:100" x14ac:dyDescent="0.3">
      <c r="A310">
        <v>0</v>
      </c>
      <c r="B310">
        <v>0.22</v>
      </c>
      <c r="C310">
        <v>0.54</v>
      </c>
      <c r="D310">
        <v>0.98</v>
      </c>
      <c r="E310">
        <v>7.0000000000000007E-2</v>
      </c>
      <c r="F310">
        <v>0.93</v>
      </c>
    </row>
    <row r="311" spans="1:100" x14ac:dyDescent="0.3">
      <c r="A311">
        <v>0.77</v>
      </c>
      <c r="B311">
        <v>0.97</v>
      </c>
      <c r="C311">
        <v>0.02</v>
      </c>
      <c r="D311">
        <v>0.01</v>
      </c>
      <c r="E311">
        <v>0.68</v>
      </c>
      <c r="F311">
        <v>0.13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7</xdr:col>
                <xdr:colOff>0</xdr:colOff>
                <xdr:row>17</xdr:row>
                <xdr:rowOff>175260</xdr:rowOff>
              </from>
              <to>
                <xdr:col>9</xdr:col>
                <xdr:colOff>594360</xdr:colOff>
                <xdr:row>20</xdr:row>
                <xdr:rowOff>22860</xdr:rowOff>
              </to>
            </anchor>
          </controlPr>
        </control>
      </mc:Choice>
      <mc:Fallback>
        <control shapeId="4098" r:id="rId4" name="CommandButton1"/>
      </mc:Fallback>
    </mc:AlternateContent>
    <mc:AlternateContent xmlns:mc="http://schemas.openxmlformats.org/markup-compatibility/2006">
      <mc:Choice Requires="x14">
        <control shapeId="4099" r:id="rId6" name="CommandButton2">
          <controlPr defaultSize="0" autoLine="0" r:id="rId7">
            <anchor moveWithCells="1">
              <from>
                <xdr:col>7</xdr:col>
                <xdr:colOff>0</xdr:colOff>
                <xdr:row>20</xdr:row>
                <xdr:rowOff>175260</xdr:rowOff>
              </from>
              <to>
                <xdr:col>9</xdr:col>
                <xdr:colOff>594360</xdr:colOff>
                <xdr:row>23</xdr:row>
                <xdr:rowOff>22860</xdr:rowOff>
              </to>
            </anchor>
          </controlPr>
        </control>
      </mc:Choice>
      <mc:Fallback>
        <control shapeId="4099" r:id="rId6" name="CommandButton2"/>
      </mc:Fallback>
    </mc:AlternateContent>
    <mc:AlternateContent xmlns:mc="http://schemas.openxmlformats.org/markup-compatibility/2006">
      <mc:Choice Requires="x14">
        <control shapeId="4100" r:id="rId8" name="CommandButton3">
          <controlPr defaultSize="0" autoLine="0" r:id="rId9">
            <anchor moveWithCells="1">
              <from>
                <xdr:col>7</xdr:col>
                <xdr:colOff>0</xdr:colOff>
                <xdr:row>23</xdr:row>
                <xdr:rowOff>175260</xdr:rowOff>
              </from>
              <to>
                <xdr:col>9</xdr:col>
                <xdr:colOff>594360</xdr:colOff>
                <xdr:row>26</xdr:row>
                <xdr:rowOff>22860</xdr:rowOff>
              </to>
            </anchor>
          </controlPr>
        </control>
      </mc:Choice>
      <mc:Fallback>
        <control shapeId="4100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Graph</vt:lpstr>
      <vt:lpstr>Notes</vt:lpstr>
      <vt:lpstr>ML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Denning</dc:creator>
  <cp:lastModifiedBy>Chris Denning</cp:lastModifiedBy>
  <dcterms:created xsi:type="dcterms:W3CDTF">2018-11-25T17:20:40Z</dcterms:created>
  <dcterms:modified xsi:type="dcterms:W3CDTF">2019-12-10T19:07:42Z</dcterms:modified>
</cp:coreProperties>
</file>